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_WORK\Code\factsage-compound\examples\"/>
    </mc:Choice>
  </mc:AlternateContent>
  <xr:revisionPtr revIDLastSave="0" documentId="13_ncr:1_{DC9D3D3C-9701-43C1-9EEF-C1ACB5B47CEE}" xr6:coauthVersionLast="47" xr6:coauthVersionMax="47" xr10:uidLastSave="{00000000-0000-0000-0000-000000000000}"/>
  <bookViews>
    <workbookView xWindow="-51720" yWindow="-120" windowWidth="51840" windowHeight="21120" activeTab="1" xr2:uid="{85E53A95-198C-48F1-82B7-603C7AB4AE21}"/>
  </bookViews>
  <sheets>
    <sheet name="xlwings.conf" sheetId="2" r:id="rId1"/>
    <sheet name="LIST_COMPOUNDS" sheetId="3" r:id="rId2"/>
    <sheet name="COMPARE_COMPOUNDS" sheetId="4" r:id="rId3"/>
    <sheet name="COMPARE_ENDMEMBERS" sheetId="5" r:id="rId4"/>
  </sheets>
  <functionGroups builtInGroupCount="19">
    <functionGroup name="optiSLang Excel Add-In MOP Solve"/>
  </functionGroups>
  <externalReferences>
    <externalReference r:id="rId5"/>
  </externalReferences>
  <definedNames>
    <definedName name="_111_Figure_2">[1]Data!$AT$6:$AV$25</definedName>
    <definedName name="_2764_Figure_6">[1]Data!$HC$6:$HD$8</definedName>
    <definedName name="_xlcn.WorksheetConnection_OPT_CA_.xlsmTable6_21" hidden="1">Table6_2</definedName>
    <definedName name="_xlpm.A" hidden="1" xlm="1">#NAME?</definedName>
    <definedName name="_xlpm.x" hidden="1" xlm="1">#NAME?</definedName>
    <definedName name="B52513168">#REF!</definedName>
    <definedName name="interactions_CF">#REF!</definedName>
    <definedName name="interactions_CFS">#REF!</definedName>
    <definedName name="interactions_CS">#REF!</definedName>
    <definedName name="interactions_CW">#REF!</definedName>
    <definedName name="interactions_CWF">#REF!</definedName>
    <definedName name="interactions_CWS">#REF!</definedName>
    <definedName name="interactions_FS">#REF!</definedName>
    <definedName name="interactions_WF">#REF!</definedName>
    <definedName name="interactions_WFS">#REF!</definedName>
    <definedName name="interactions_WS">#REF!</definedName>
    <definedName name="values_CF">#REF!</definedName>
    <definedName name="values_CFS">#REF!</definedName>
    <definedName name="values_CS">#REF!</definedName>
    <definedName name="values_CW">#REF!</definedName>
    <definedName name="values_CWF">#REF!</definedName>
    <definedName name="values_CWS">#REF!</definedName>
    <definedName name="values_FS">#REF!</definedName>
    <definedName name="values_WF">#REF!</definedName>
    <definedName name="values_WFS">#REF!</definedName>
    <definedName name="values_WS">#REF!</definedName>
  </definedNames>
  <calcPr calcId="191029"/>
  <extLst>
    <ext xmlns:x14="http://schemas.microsoft.com/office/spreadsheetml/2009/9/main" uri="{8193D73E-4604-4355-AFF4-8A2333D13BE4}">
      <x14:definedNames>
        <x14:definedName name="acc2d_interpolate_phase_composition_cubic">
          <x14:argumentDescriptions count="5">
            <x14:argumentDescription index="0">Positional argument 1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acc2d_interpolate_phase_composition_linear">
          <x14:argumentDescriptions count="5">
            <x14:argumentDescription index="0">Positional argument 1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acc2d_interpolate_phase_composition_quadratic">
          <x14:argumentDescriptions count="5">
            <x14:argumentDescription index="0">Positional argument 1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acc2d_search_condition_constant_c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cc2d_search_condition_constant_po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cc2d_search_condition_constant_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cc2d_search_condition_constant_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cc2d_search_condition_constant_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cc2d_search_phase_assemblage">
          <x14:argumentDescriptions count="1">
            <x14:argumentDescription index="0">Positional argument 1</x14:argumentDescription>
          </x14:argumentDescriptions>
        </x14:definedName>
        <x14:definedName name="acc2d_search_phase_x">
          <x14:argumentDescriptions count="1">
            <x14:argumentDescription index="0">Positional argument 1</x14:argumentDescription>
          </x14:argumentDescriptions>
        </x14:definedName>
        <x14:definedName name="acc2d_search_phase_zp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cc2d_test_axpy">
          <x14:argumentDescriptions count="1">
            <x14:argumentDescription index="0">Positional argument 1</x14:argumentDescription>
          </x14:argumentDescriptions>
        </x14:definedName>
        <x14:definedName name="acc2d_test_mult">
          <x14:argumentDescriptions count="1">
            <x14:argumentDescription index="0">Positional argument 1</x14:argumentDescription>
          </x14:argumentDescriptions>
        </x14:definedName>
        <x14:definedName name="best_combination">
          <x14:argumentDescriptions count="6">
            <x14:argumentDescription index="0">A matrix of derivatives n x k for n points and k parameters.</x14:argumentDescription>
            <x14:argumentDescription index="1">Vector of differences between the target and calculated values.</x14:argumentDescription>
            <x14:argumentDescription index="2">Vector of weights.</x14:argumentDescription>
            <x14:argumentDescription index="3">Binary vector indicating whether a parameter is active or frozen.</x14:argumentDescription>
            <x14:argumentDescription index="4">Vector of static contributions; considered only for frozen parameters.</x14:argumentDescription>
            <x14:argumentDescription index="5">Positional argument 6</x14:argumentDescription>
          </x14:argumentDescriptions>
        </x14:definedName>
        <x14:definedName name="ca_calculate">
          <x14:argumentDescriptions count="4">
            <x14:argumentDescription index="0">A file path to datafile in either open-access or protected format.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ca_calculate_T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ca_dimensions">
          <x14:argumentDescriptions count="1">
            <x14:argumentDescription index="0">A datafile in either .DAT or .CST format</x14:argumentDescription>
          </x14:argumentDescriptions>
        </x14:definedName>
        <x14:definedName name="ca_get_compound_Cp">
          <x14:argumentDescriptions count="5">
            <x14:argumentDescription index="0">A file path to datafile in either open-access or protected format.</x14:argumentDescription>
            <x14:argumentDescription index="1">An array of compound names.</x14:argumentDescription>
            <x14:argumentDescription index="2">An array of Cp range indices.</x14:argumentDescription>
            <x14:argumentDescription index="3">An array of Cp coefficient indices. f = Cp[1]+Cp[2]*T+Cp[3]*T^2+Cp[4]/T^2+eCp[5]*T^Cp[6]+Cp[7]*T^Cp[8]+Cp[9]*T^Cp[10]</x14:argumentDescription>
            <x14:argumentDescription index="4">Any value; if changed, makes the formula to recalculate</x14:argumentDescription>
          </x14:argumentDescriptions>
        </x14:definedName>
        <x14:definedName name="ca_get_compound_CpTupper">
          <x14:argumentDescriptions count="4">
            <x14:argumentDescription index="0">A file path to datafile in either open-access or protected format.</x14:argumentDescription>
            <x14:argumentDescription index="1">A list of compound names.</x14:argumentDescription>
            <x14:argumentDescription index="2">Cp range indices.</x14:argumentDescription>
            <x14:argumentDescription index="3">Any value; if changed, makes the formula to recalculate.</x14:argumentDescription>
          </x14:argumentDescriptions>
        </x14:definedName>
        <x14:definedName name="ca_get_compound_H298">
          <x14:argumentDescriptions count="3">
            <x14:argumentDescription index="0">A file path to datafile in open-access format only.</x14:argumentDescription>
            <x14:argumentDescription index="1">An array with compound names</x14:argumentDescription>
            <x14:argumentDescription index="2">Any value; if changed, makes the formula to recalculate.</x14:argumentDescription>
          </x14:argumentDescriptions>
        </x14:definedName>
        <x14:definedName name="ca_get_compound_S298">
          <x14:argumentDescriptions count="3">
            <x14:argumentDescription index="0">A file path to datafile in open-access format only.</x14:argumentDescription>
            <x14:argumentDescription index="1">An array of compound names</x14:argumentDescription>
            <x14:argumentDescription index="2">Any value; if changed, makes the formula to recalculate</x14:argumentDescription>
          </x14:argumentDescriptions>
        </x14:definedName>
        <x14:definedName name="ca_get_compound_stoichiometry">
          <x14:argumentDescriptions count="2">
            <x14:argumentDescription index="0">A file path to datafile in either open-access or protected format.</x14:argumentDescription>
            <x14:argumentDescription index="1">An array of compound names.</x14:argumentDescription>
          </x14:argumentDescriptions>
        </x14:definedName>
        <x14:definedName name="ca_get_compound_weight">
          <x14:argumentDescriptions count="2">
            <x14:argumentDescription index="0">A file path to datafile in either open-access or protected format.</x14:argumentDescription>
            <x14:argumentDescription index="1">An array of compound names.</x14:argumentDescription>
          </x14:argumentDescriptions>
        </x14:definedName>
        <x14:definedName name="ca_get_constituent_Cp">
          <x14:argumentDescriptions count="6">
            <x14:argumentDescription index="0">A file path to datafile in either open-access or protected format.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Any value; if changed, makes the formula to recalculate</x14:argumentDescription>
          </x14:argumentDescriptions>
        </x14:definedName>
        <x14:definedName name="ca_get_constituent_CpTupper">
          <x14:argumentDescriptions count="5">
            <x14:argumentDescription index="0">A file path to datafile in either open-access or protected format.</x14:argumentDescription>
            <x14:argumentDescription index="1">A list of phase names.</x14:argumentDescription>
            <x14:argumentDescription index="2">A list of phase constituent names.</x14:argumentDescription>
            <x14:argumentDescription index="3">Positional argument 4</x14:argumentDescription>
            <x14:argumentDescription index="4">Any value; if changed, makes the formula to recalculate</x14:argumentDescription>
          </x14:argumentDescriptions>
        </x14:definedName>
        <x14:definedName name="ca_get_constituent_H298">
          <x14:argumentDescriptions count="4">
            <x14:argumentDescription index="0">A file path to datafile in open-access format only.</x14:argumentDescription>
            <x14:argumentDescription index="1">An array with phase names</x14:argumentDescription>
            <x14:argumentDescription index="2">An array with constituent names</x14:argumentDescription>
            <x14:argumentDescription index="3">Any value; if changed, makes the formula to recalculate</x14:argumentDescription>
          </x14:argumentDescriptions>
        </x14:definedName>
        <x14:definedName name="ca_get_constituent_S298">
          <x14:argumentDescriptions count="4">
            <x14:argumentDescription index="0">A file path to datafile in open-access format only.</x14:argumentDescription>
            <x14:argumentDescription index="1">Positional argument 2</x14:argumentDescription>
            <x14:argumentDescription index="2">Positional argument 3</x14:argumentDescription>
            <x14:argumentDescription index="3">Any value; if changed, makes the formula to recalculate.</x14:argumentDescription>
          </x14:argumentDescriptions>
        </x14:definedName>
        <x14:definedName name="ca_get_constituent_stoichiometry">
          <x14:argumentDescriptions count="3">
            <x14:argumentDescription index="0">A file path to datafile in either open-access or protected format.</x14:argumentDescription>
            <x14:argumentDescription index="1">An array of phase names.</x14:argumentDescription>
            <x14:argumentDescription index="2">An array of phase constituent names.</x14:argumentDescription>
          </x14:argumentDescriptions>
        </x14:definedName>
        <x14:definedName name="ca_get_constituent_weight">
          <x14:argumentDescriptions count="3">
            <x14:argumentDescription index="0">A file path to datafile in either open-access or protected format.</x14:argumentDescription>
            <x14:argumentDescription index="1">An array of phase names.</x14:argumentDescription>
            <x14:argumentDescription index="2">An array of phase constituent names.</x14:argumentDescription>
          </x14:argumentDescriptions>
        </x14:definedName>
        <x14:definedName name="ca_get_interaction_index">
          <x14:argumentDescriptions count="4">
            <x14:argumentDescription index="0">A file path to datafile in either open-access or protected format.</x14:argumentDescription>
            <x14:argumentDescription index="1">A phase name (solution</x14:argumentDescription>
            <x14:argumentDescription index="2">A list of interaction parameters.</x14:argumentDescription>
            <x14:argumentDescription index="3">Any value; if changed, makes the formula to recalculate.</x14:argumentDescription>
          </x14:argumentDescriptions>
        </x14:definedName>
        <x14:definedName name="ca_get_interaction_indices">
          <x14:argumentDescriptions count="4">
            <x14:argumentDescription index="0">A file path to datafile in either open-access or protected format.</x14:argumentDescription>
            <x14:argumentDescription index="1">A phase name (solution</x14:argumentDescription>
            <x14:argumentDescription index="2">A list of interaction parameters.</x14:argumentDescription>
            <x14:argumentDescription index="3">Any value; if changed, makes the formula to recalculate.</x14:argumentDescription>
          </x14:argumentDescriptions>
        </x14:definedName>
        <x14:definedName name="ca_get_interaction_parameters_g">
          <x14:argumentDescriptions count="5">
            <x14:argumentDescription index="0">A file path to datafile in either open-access or protected format.</x14:argumentDescription>
            <x14:argumentDescription index="1">An array of solution names.</x14:argumentDescription>
            <x14:argumentDescription index="2">An array of interaction parameters.</x14:argumentDescription>
            <x14:argumentDescription index="3">An array of value indices from 0 to 5.</x14:argumentDescription>
            <x14:argumentDescription index="4">Any value; if changed, makes the formula to recalculate.</x14:argumentDescription>
          </x14:argumentDescriptions>
        </x14:definedName>
        <x14:definedName name="ca_get_param_solution_g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ca_list_components">
          <x14:argumentDescriptions count="1">
            <x14:argumentDescription index="0">A file path to datafile in either open-access or protected format.</x14:argumentDescription>
          </x14:argumentDescriptions>
        </x14:definedName>
        <x14:definedName name="ca_list_compounds">
          <x14:argumentDescriptions count="2">
            <x14:argumentDescription index="0">A file path to datafile in either open-access or protected format.</x14:argumentDescription>
            <x14:argumentDescription index="1">A subsystem filter to limit the search criteria. Examples: "CaO-SiO2", "Ca2SiO4", "Al2O3-CaO-SiO2"</x14:argumentDescription>
          </x14:argumentDescriptions>
        </x14:definedName>
        <x14:definedName name="ca_list_constituents">
          <x14:argumentDescriptions count="3">
            <x14:argumentDescription index="0">A file path to datafile in either open-access or protected format.</x14:argumentDescription>
            <x14:argumentDescription index="1">An array of phases for each of these the constituents are to be retrieved.</x14:argumentDescription>
            <x14:argumentDescription index="2">A subsystem filter to limit the search criteria. Examples: "CaO-SiO2", "Ca2SiO4", "Al2O3-CaO-SiO2"</x14:argumentDescription>
          </x14:argumentDescriptions>
        </x14:definedName>
        <x14:definedName name="ca_list_interactions">
          <x14:argumentDescriptions count="2">
            <x14:argumentDescription index="0">A file path to datafile in the open-access format.</x14:argumentDescription>
            <x14:argumentDescription index="1">Name of a phase (solution).</x14:argumentDescription>
          </x14:argumentDescriptions>
        </x14:definedName>
        <x14:definedName name="ca_list_phases">
          <x14:argumentDescriptions count="2">
            <x14:argumentDescription index="0">A file path to datafile in either open-access or protected format.</x14:argumentDescription>
            <x14:argumentDescription index="1">A subsystem filter to limit the search criteria. Examples: "CaO-SiO2", "Ca2SiO4", "Al2O3-CaO-SiO2"</x14:argumentDescription>
          </x14:argumentDescriptions>
        </x14:definedName>
        <x14:definedName name="ca_list_solutions">
          <x14:argumentDescriptions count="2">
            <x14:argumentDescription index="0">A file path to datafile in either open-access or protected format.</x14:argumentDescription>
            <x14:argumentDescription index="1">A subsystem filter to limit the search criteria. Examples: "CaO-SiO2", "Ca2SiO4", "Al2O3-CaO-SiO2"</x14:argumentDescription>
          </x14:argumentDescriptions>
        </x14:definedName>
        <x14:definedName name="ca_list_species">
          <x14:argumentDescriptions count="2">
            <x14:argumentDescription index="0">A file path to datafile in either open-access or protected format.</x14:argumentDescription>
            <x14:argumentDescription index="1">A phase for each species are to be returned</x14:argumentDescription>
          </x14:argumentDescriptions>
        </x14:definedName>
        <x14:definedName name="ca_list_species_indices">
          <x14:argumentDescriptions count="2">
            <x14:argumentDescription index="0">A file path to datafile in either open-access or protected format.</x14:argumentDescription>
            <x14:argumentDescription index="1">A phase for each species indices are to be returned</x14:argumentDescription>
          </x14:argumentDescriptions>
        </x14:definedName>
        <x14:definedName name="ca_mcalculate_T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ca_phase_parameters">
          <x14:argumentDescriptions count="3">
            <x14:argumentDescription index="0">A file path to datafile in the open-access format.</x14:argumentDescription>
            <x14:argumentDescription index="1">Name of a phase (solution).</x14:argumentDescription>
            <x14:argumentDescription index="2">Type of excess parameters (optional); can be "G" (Gibbs energy) or "M" (magnetic). The default value is "G".</x14:argumentDescription>
          </x14:argumentDescriptions>
        </x14:definedName>
        <x14:definedName name="ca_set_compound_Cp">
          <x14:argumentDescriptions count="5">
            <x14:argumentDescription index="0">A file path to datafile in the open-access format.</x14:argumentDescription>
            <x14:argumentDescription index="1">An array of compound names.</x14:argumentDescription>
            <x14:argumentDescription index="2">An array or a matrix of new values.</x14:argumentDescription>
            <x14:argumentDescription index="3">An array of Cp range indices.</x14:argumentDescription>
            <x14:argumentDescription index="4">An array of coefficient indices from 1 to 10; 0 for all of them.</x14:argumentDescription>
          </x14:argumentDescriptions>
        </x14:definedName>
        <x14:definedName name="ca_set_compound_H298">
          <x14:argumentDescriptions count="4">
            <x14:argumentDescription index="0">A file path to datafile in the open-access format.</x14:argumentDescription>
            <x14:argumentDescription index="1">A list of compound names.</x14:argumentDescription>
            <x14:argumentDescription index="2">A list of new H298 values.</x14:argumentDescription>
            <x14:argumentDescription index="3">The function with overwrite the old values only if set to TRUE.</x14:argumentDescription>
          </x14:argumentDescriptions>
        </x14:definedName>
        <x14:definedName name="ca_set_compound_S298">
          <x14:argumentDescriptions count="4">
            <x14:argumentDescription index="0">A file path to datafile in either open-access or protected format.</x14:argumentDescription>
            <x14:argumentDescription index="1">An array of compound names.</x14:argumentDescription>
            <x14:argumentDescription index="2">An array of new S298 values.</x14:argumentDescription>
            <x14:argumentDescription index="3">Positional argument 4</x14:argumentDescription>
          </x14:argumentDescriptions>
        </x14:definedName>
        <x14:definedName name="ca_set_constituent_Cp">
          <x14:argumentDescriptions count="6">
            <x14:argumentDescription index="0">A file path to datafile in the open-access format.</x14:argumentDescription>
            <x14:argumentDescription index="1">An array of solution names.</x14:argumentDescription>
            <x14:argumentDescription index="2">An array of phase constituent names.</x14:argumentDescription>
            <x14:argumentDescription index="3">An array or a matrix of new values.</x14:argumentDescription>
            <x14:argumentDescription index="4">An array of Cp range indices.</x14:argumentDescription>
            <x14:argumentDescription index="5">An array of coefficient indices from 1 to 10; 0 for all of them.</x14:argumentDescription>
          </x14:argumentDescriptions>
        </x14:definedName>
        <x14:definedName name="ca_set_constituent_H298">
          <x14:argumentDescriptions count="5">
            <x14:argumentDescription index="0">A file path to datafile in the open-access format.</x14:argumentDescription>
            <x14:argumentDescription index="1">A list of phase names</x14:argumentDescription>
            <x14:argumentDescription index="2">A list of constituent names.</x14:argumentDescription>
            <x14:argumentDescription index="3">A list of new H298 values.</x14:argumentDescription>
            <x14:argumentDescription index="4">The function with overwrite the old values only if set to TRUE.</x14:argumentDescription>
          </x14:argumentDescriptions>
        </x14:definedName>
        <x14:definedName name="ca_set_constituent_S298">
          <x14:argumentDescriptions count="5">
            <x14:argumentDescription index="0">A file path to datafile in the open-access format.</x14:argumentDescription>
            <x14:argumentDescription index="1">A list of phase names.</x14:argumentDescription>
            <x14:argumentDescription index="2">A list of compound names.</x14:argumentDescription>
            <x14:argumentDescription index="3">A list of new H298 values.</x14:argumentDescription>
            <x14:argumentDescription index="4">The function with overwrite the old values only if set to TRUE.</x14:argumentDescription>
          </x14:argumentDescriptions>
        </x14:definedName>
        <x14:definedName name="ca_set_interaction_parameters_g">
          <x14:argumentDescriptions count="6">
            <x14:argumentDescription index="0">A file path to datafile in either open-access or protected format.</x14:argumentDescription>
            <x14:argumentDescription index="1">An array of solution names.</x14:argumentDescription>
            <x14:argumentDescription index="2">An array of interactions.</x14:argumentDescription>
            <x14:argumentDescription index="3">An array of new parameter values.</x14:argumentDescription>
            <x14:argumentDescription index="4">An array of coefficient indices from 0 to 5.</x14:argumentDescription>
            <x14:argumentDescription index="5">Optional argument, turns off updating if set to FALSE.</x14:argumentDescription>
          </x14:argumentDescriptions>
        </x14:definedName>
        <x14:definedName name="ca_set_param_solution_g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ca_stoichiometry_compou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alculate_binary">
          <x14:argumentDescriptions count="6">
            <x14:argumentDescription index="0">path to a datafile.</x14:argumentDescription>
            <x14:argumentDescription index="1">first endmember.</x14:argumentDescription>
            <x14:argumentDescription index="2">second endmember.</x14:argumentDescription>
            <x14:argumentDescription index="3">.</x14:argumentDescription>
            <x14:argumentDescription index="4">.</x14:argumentDescription>
            <x14:argumentDescription index="5">.</x14:argumentDescription>
          </x14:argumentDescriptions>
        </x14:definedName>
        <x14:definedName name="change_range">
          <x14:argumentDescriptions count="1">
            <x14:argumentDescription index="0">Positional argument 1</x14:argumentDescription>
          </x14:argumentDescriptions>
        </x14:definedName>
        <x14:definedName name="chemsage_compare_constituents">
          <x14:argumentDescriptions count="1">
            <x14:argumentDescription index="3">Positional argument 4</x14:argumentDescription>
          </x14:argumentDescriptions>
        </x14:definedName>
        <x14:definedName name="condition_number">
          <x14:argumentDescriptions count="2">
            <x14:argumentDescription index="0">Input matrix.</x14:argumentDescription>
            <x14:argumentDescription index="1">Positional argument 2</x14:argumentDescription>
          </x14:argumentDescriptions>
        </x14:definedName>
        <x14:definedName name="corr_matrix">
          <x14:argumentDescriptions count="1">
            <x14:argumentDescription index="0">Positional argument 1</x14:argumentDescription>
          </x14:argumentDescriptions>
        </x14:definedName>
        <x14:definedName name="data_change_basis">
          <x14:argumentDescriptions count="7">
            <x14:argumentDescription index="0">Initial formula basis</x14:argumentDescription>
            <x14:argumentDescription index="1">Resulting formula basis</x14:argumentDescription>
            <x14:argumentDescription index="2">table with compositions</x14:argumentDescription>
            <x14:argumentDescription index="3">TRUE if the initial compositions are in weight fraction basis, the default value is FALSE.</x14:argumentDescription>
            <x14:argumentDescription index="4">TRUE if the final compositions should be in weight fraction basis, the default value is FALSE.</x14:argumentDescription>
            <x14:argumentDescription index="5">TRUE if the final compositions have to be normalized to one (molar/weight fractions instead of amounts). The default value is FALSE.</x14:argumentDescription>
            <x14:argumentDescription index="6">Positional argument 7</x14:argumentDescription>
          </x14:argumentDescriptions>
        </x14:definedName>
        <x14:definedName name="data_checksum_md5">
          <x14:argumentDescriptions count="1">
            <x14:argumentDescription index="0">Positional argument 1</x14:argumentDescription>
          </x14:argumentDescriptions>
        </x14:definedName>
        <x14:definedName name="data_checksum_md5_array">
          <x14:argumentDescriptions count="1">
            <x14:argumentDescription index="0">Positional argument 1</x14:argumentDescription>
          </x14:argumentDescriptions>
        </x14:definedName>
        <x14:definedName name="data_checksum_md5_set">
          <x14:argumentDescriptions count="1">
            <x14:argumentDescription index="0">Positional argument 1</x14:argumentDescription>
          </x14:argumentDescriptions>
        </x14:definedName>
        <x14:definedName name="data_derivativ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data_generate_mesh">
          <x14:argumentDescriptions count="3">
            <x14:argumentDescription index="0">Number of points in each dimension.</x14:argumentDescription>
            <x14:argumentDescription index="1">Number of components changing composition. The default value is 2.</x14:argumentDescription>
            <x14:argumentDescription index="2">Total number of components (changing and not changing composition).</x14:argumentDescription>
          </x14:argumentDescriptions>
        </x14:definedName>
        <x14:definedName name="data_hash_native">
          <x14:argumentDescriptions count="1">
            <x14:argumentDescription index="0">Positional argument 1</x14:argumentDescription>
          </x14:argumentDescriptions>
        </x14:definedName>
        <x14:definedName name="data_in_syste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data_interp1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data_isotherm_composition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ata_isotherms_to_univ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ata_stable_phases">
          <x14:argumentDescriptions count="1">
            <x14:argumentDescription index="0">Positional argument 1</x14:argumentDescription>
          </x14:argumentDescriptions>
        </x14:definedName>
        <x14:definedName name="data_triangulation_containing_point">
          <x14:argumentDescriptions count="1">
            <x14:argumentDescription index="1">Positional argument 2</x14:argumentDescription>
          </x14:argumentDescriptions>
        </x14:definedName>
        <x14:definedName name="dynamic_array">
          <x14:argumentDescriptions count="2">
            <x14:argumentDescription index="0">Number of rows</x14:argumentDescription>
            <x14:argumentDescription index="1">Number of columns</x14:argumentDescription>
          </x14:argumentDescriptions>
        </x14:definedName>
        <x14:definedName name="einstei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actsage_compare_compounds">
          <x14:argumentDescriptions count="1">
            <x14:argumentDescription index="2">Positional argument 3</x14:argumentDescription>
          </x14:argumentDescriptions>
        </x14:definedName>
        <x14:definedName name="factsage_compare_solution_endmembers">
          <x14:argumentDescriptions count="1">
            <x14:argumentDescription index="2">Positional argument 3</x14:argumentDescription>
          </x14:argumentDescriptions>
        </x14:definedName>
        <x14:definedName name="factsage_compare_solution_exceptions">
          <x14:argumentDescriptions count="1">
            <x14:argumentDescription index="2">Positional argument 3</x14:argumentDescription>
          </x14:argumentDescriptions>
        </x14:definedName>
        <x14:definedName name="factsage_compare_solution_interactions">
          <x14:argumentDescriptions count="2"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actsage_compare_solution_quadruplets">
          <x14:argumentDescriptions count="1">
            <x14:argumentDescription index="2">Positional argument 3</x14:argumentDescription>
          </x14:argumentDescriptions>
        </x14:definedName>
        <x14:definedName name="factsage_get_compound_H298">
          <x14:argumentDescriptions count="1">
            <x14:argumentDescription index="2">Positional argument 3</x14:argumentDescription>
          </x14:argumentDescriptions>
        </x14:definedName>
        <x14:definedName name="factsage_get_compound_S298">
          <x14:argumentDescriptions count="1">
            <x14:argumentDescription index="2">Positional argument 3</x14:argumentDescription>
          </x14:argumentDescriptions>
        </x14:definedName>
        <x14:definedName name="factsage_list_solution_endmembers">
          <x14:argumentDescriptions count="2"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actsage_list_solution_exceptions">
          <x14:argumentDescriptions count="2"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actsage_list_solution_interactions">
          <x14:argumentDescriptions count="2"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actsage_list_solution_quadruplets">
          <x14:argumentDescriptions count="2"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actsage_set_compound_H298">
          <x14:argumentDescriptions count="1">
            <x14:argumentDescription index="3">Positional argument 4</x14:argumentDescription>
          </x14:argumentDescriptions>
        </x14:definedName>
        <x14:definedName name="factsage_set_compound_S298">
          <x14:argumentDescriptions count="1">
            <x14:argumentDescription index="3">Positional argument 4</x14:argumentDescription>
          </x14:argumentDescriptions>
        </x14:definedName>
        <x14:definedName name="factsage_write_parameters">
          <x14:argumentDescriptions count="1">
            <x14:argumentDescription index="7">Positional argument 8</x14:argumentDescription>
          </x14:argumentDescriptions>
        </x14:definedName>
        <x14:definedName name="file_read">
          <x14:argumentDescriptions count="4">
            <x14:argumentDescription index="0">Positional argument 1</x14:argumentDescription>
            <x14:argumentDescription index="1">An array with line numbers.</x14:argumentDescription>
            <x14:argumentDescription index="2">An array with column numbers (offsets).</x14:argumentDescription>
            <x14:argumentDescription index="3">An array with lengths (number of characters to read).</x14:argumentDescription>
          </x14:argumentDescriptions>
        </x14:definedName>
        <x14:definedName name="file_searc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e_write">
          <x14:argumentDescriptions count="4">
            <x14:argumentDescription index="0">Positional argument 1</x14:argumentDescription>
            <x14:argumentDescription index="1">An array of line numbers.</x14:argumentDescription>
            <x14:argumentDescription index="2">An array of column numbers.</x14:argumentDescription>
            <x14:argumentDescription index="3">An array of numeric values.</x14:argumentDescription>
          </x14:argumentDescriptions>
        </x14:definedName>
        <x14:definedName name="get_caller_address">
          <x14:argumentDescriptions count="1">
            <x14:argumentDescription index="0">Positional argument 1</x14:argumentDescription>
          </x14:argumentDescriptions>
        </x14:definedName>
        <x14:definedName name="gl_add_one">
          <x14:argumentDescriptions count="1">
            <x14:argumentDescription index="0">Positional argument 1</x14:argumentDescription>
          </x14:argumentDescriptions>
        </x14:definedName>
        <x14:definedName name="gl_double">
          <x14:argumentDescriptions count="1">
            <x14:argumentDescription index="0">Positional argument 1</x14:argumentDescription>
          </x14:argumentDescriptions>
        </x14:definedName>
        <x14:definedName name="gl_dynamic_arra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l_matrix_mul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l_subsystem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gr_plot_grap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near_regression">
          <x14:argumentDescriptions count="5">
            <x14:argumentDescription index="0">A matrix of derivatives n x k for n points and k parameters.</x14:argumentDescription>
            <x14:argumentDescription index="1">Vector of differences between the target and calculated values.</x14:argumentDescription>
            <x14:argumentDescription index="2">Vector of weights.</x14:argumentDescription>
            <x14:argumentDescription index="3">Binary vector indicating whether a parameter is active or frozen.</x14:argumentDescription>
            <x14:argumentDescription index="4">Vector of static contributions; considered only for frozen parameters.</x14:argumentDescription>
          </x14:argumentDescriptions>
        </x14:definedName>
        <x14:definedName name="linop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linsp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linspace_open">
          <x14:argumentDescriptions count="4">
            <x14:argumentDescription index="0">The first value.</x14:argumentDescription>
            <x14:argumentDescription index="1">Positional argument 2</x14:argumentDescription>
            <x14:argumentDescription index="2">The second value.</x14:argumentDescription>
            <x14:argumentDescription index="3">Positional argument 4</x14:argumentDescription>
          </x14:argumentDescriptions>
        </x14:definedName>
        <x14:definedName name="mathutils_update_inverse_matrix">
          <x14:argumentDescriptions count="1">
            <x14:argumentDescription index="2">Positional argument 3</x14:argumentDescription>
          </x14:argumentDescriptions>
        </x14:definedName>
        <x14:definedName name="pd_lookup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d_pivot_count">
          <x14:argumentDescriptions count="2">
            <x14:argumentDescription index="0">An array of categories (not unique).</x14:argumentDescription>
            <x14:argumentDescription index="1">An array of corresponding values (optional).</x14:argumentDescription>
          </x14:argumentDescriptions>
        </x14:definedName>
        <x14:definedName name="pd_pivot_max">
          <x14:argumentDescriptions count="2">
            <x14:argumentDescription index="0">An array of categories (not unique).</x14:argumentDescription>
            <x14:argumentDescription index="1">An array of corresponding values (optional).</x14:argumentDescription>
          </x14:argumentDescriptions>
        </x14:definedName>
        <x14:definedName name="pd_pivot_mean">
          <x14:argumentDescriptions count="2">
            <x14:argumentDescription index="0">An array of categories (not unique).</x14:argumentDescription>
            <x14:argumentDescription index="1">An array of corresponding values (optional).</x14:argumentDescription>
          </x14:argumentDescriptions>
        </x14:definedName>
        <x14:definedName name="pd_pivot_min">
          <x14:argumentDescriptions count="2">
            <x14:argumentDescription index="0">An array of categories (not unique).</x14:argumentDescription>
            <x14:argumentDescription index="1">An array of corresponding values (optional).</x14:argumentDescription>
          </x14:argumentDescriptions>
        </x14:definedName>
        <x14:definedName name="pd_pivot_rms">
          <x14:argumentDescriptions count="2">
            <x14:argumentDescription index="0">An array of categories (not unique).</x14:argumentDescription>
            <x14:argumentDescription index="1">An array of corresponding values (optional).</x14:argumentDescription>
          </x14:argumentDescriptions>
        </x14:definedName>
        <x14:definedName name="pd_pivot_sum">
          <x14:argumentDescriptions count="2">
            <x14:argumentDescription index="0">An array of categories (not unique).</x14:argumentDescription>
            <x14:argumentDescription index="1">An array of corresponding values (optional).</x14:argumentDescription>
          </x14:argumentDescriptions>
        </x14:definedName>
        <x14:definedName name="pd_pivot_tab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l_figure_to_char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l_get_symbols_abc">
          <x14:argumentDescriptions count="1">
            <x14:argumentDescription index="0">Positional argument 1</x14:argumentDescription>
          </x14:argumentDescriptions>
        </x14:definedName>
        <x14:definedName name="pl_get_symbols_xy">
          <x14:argumentDescriptions count="1">
            <x14:argumentDescription index="0">Positional argument 1</x14:argumentDescription>
          </x14:argumentDescriptions>
        </x14:definedName>
        <x14:definedName name="pl_import_figur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l_import_figure_pivote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l_plot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pl_scatter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pl_set_limit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lot_data">
          <x14:argumentDescriptions count="3">
            <x14:argumentDescription index="0">the name of an Excel chart.</x14:argumentDescription>
            <x14:argumentDescription index="1">table with data.</x14:argumentDescription>
            <x14:argumentDescription index="2">settings of lines, markers, etc.</x14:argumentDescription>
          </x14:argumentDescriptions>
        </x14:definedName>
        <x14:definedName name="rank_parameter_set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elect_parameter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gmx_calculate">
          <x14:argumentDescriptions count="4">
            <x14:argumentDescription index="0">A file path to datafile in either open-access or protected format.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sgmx_compound_CP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gmx_compound_G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gmx_compound_H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gmx_compound_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ignificant_target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ingle_values">
          <x14:argumentDescriptions count="1">
            <x14:argumentDescription index="0">Positional argument 1</x14:argumentDescription>
          </x14:argumentDescriptions>
        </x14:definedName>
        <x14:definedName name="stat_shapiro">
          <x14:argumentDescriptions count="1">
            <x14:argumentDescription index="0">Positional argument 1</x14:argumentDescription>
          </x14:argumentDescriptions>
        </x14:definedName>
        <x14:definedName name="stat_ttest_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xl_check_endnote">
          <x14:argumentDescriptions count="1">
            <x14:argumentDescription index="0">Positional argument 1</x14:argumentDescription>
          </x14:argumentDescriptions>
        </x14:definedName>
        <x14:definedName name="xl_count_composition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xl_count_compositions_elements">
          <x14:argumentDescriptions count="1">
            <x14:argumentDescription index="0">Positional argument 1</x14:argumentDescription>
          </x14:argumentDescriptions>
        </x14:definedName>
        <x14:definedName name="xl_fetch_composition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insert_endnot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xl_insert_phas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Table6_2" name="Table6_2" connection="WorksheetConnection_OPT_CA_.xlsm!Table6_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3" l="1" a="1"/>
  <c r="H10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DB1AA6C-44CF-44B8-BB82-A2B25236A399}" keepAlive="1" name="Query - Table_pgcon3" description="Connection to the 'Table_pgcon3' query in the workbook." type="5" refreshedVersion="6" background="1" saveData="1">
    <dbPr connection="Provider=Microsoft.Mashup.OleDb.1;Data Source=$Workbook$;Location=Table_pgcon3;Extended Properties=&quot;&quot;" command="SELECT * FROM [Table_pgcon3]"/>
  </connection>
  <connection id="2" xr16:uid="{EA20824D-3101-4E01-8018-3C5D69309DC3}" keepAlive="1" name="Query - Table_pgcon3 (2)" description="Connection to the 'Table_pgcon3 (2)' query in the workbook." type="5" refreshedVersion="6" background="1" saveData="1">
    <dbPr connection="Provider=Microsoft.Mashup.OleDb.1;Data Source=$Workbook$;Location=&quot;Table_pgcon3 (2)&quot;;Extended Properties=&quot;&quot;" command="SELECT * FROM [Table_pgcon3 (2)]"/>
  </connection>
  <connection id="3" xr16:uid="{AF134A5B-1629-408A-9230-F3D8D7251850}" keepAlive="1" name="Query - Table_pgcon3 (3)" description="Connection to the 'Table_pgcon3 (3)' query in the workbook." type="5" refreshedVersion="6" background="1" saveData="1">
    <dbPr connection="Provider=Microsoft.Mashup.OleDb.1;Data Source=$Workbook$;Location=&quot;Table_pgcon3 (3)&quot;;Extended Properties=&quot;&quot;" command="SELECT * FROM [Table_pgcon3 (3)]"/>
  </connection>
  <connection id="4" xr16:uid="{A868DFE7-AF5B-4480-BE11-DBDE80467237}" keepAlive="1" name="Query - Table5" description="Connection to the 'Table5' query in the workbook." type="5" refreshedVersion="0" background="1" saveData="1">
    <dbPr connection="Provider=Microsoft.Mashup.OleDb.1;Data Source=$Workbook$;Location=Table5;Extended Properties=&quot;&quot;" command="SELECT * FROM [Table5]"/>
  </connection>
  <connection id="5" xr16:uid="{C0AC8D76-9949-4FF8-80B9-7E824D58BC51}" keepAlive="1" name="Query - Table5 (2)" description="Connection to the 'Table5 (2)' query in the workbook." type="5" refreshedVersion="6" background="1" saveData="1">
    <dbPr connection="Provider=Microsoft.Mashup.OleDb.1;Data Source=$Workbook$;Location=&quot;Table5 (2)&quot;;Extended Properties=&quot;&quot;" command="SELECT * FROM [Table5 (2)]"/>
  </connection>
  <connection id="6" xr16:uid="{3400965C-CAC8-4AF8-BBBD-F7E4DF9199EF}" keepAlive="1" name="Query - Table6" description="Connection to the 'Table6' query in the workbook." type="5" refreshedVersion="6" background="1" saveData="1">
    <dbPr connection="Provider=Microsoft.Mashup.OleDb.1;Data Source=$Workbook$;Location=Table6;Extended Properties=&quot;&quot;" command="SELECT * FROM [Table6]"/>
  </connection>
  <connection id="7" xr16:uid="{9B18CFBC-002D-4282-BBAC-717E3F1A4D38}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8" xr16:uid="{BB53F6C6-30E8-4508-B70D-2740332EF269}" name="WorksheetConnection_OPT_CA_.xlsm!Table6_2" type="102" refreshedVersion="6" minRefreshableVersion="5">
    <extLst>
      <ext xmlns:x15="http://schemas.microsoft.com/office/spreadsheetml/2010/11/main" uri="{DE250136-89BD-433C-8126-D09CA5730AF9}">
        <x15:connection id="Table6_2">
          <x15:rangePr sourceName="_xlcn.WorksheetConnection_OPT_CA_.xlsmTable6_2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<sst xmlns="http://schemas.openxmlformats.org/spreadsheetml/2006/main" count="17" uniqueCount="17">
  <si>
    <t>PYTHONPATH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</si>
  <si>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</si>
  <si>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</si>
  <si>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</si>
  <si>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</si>
  <si>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</si>
  <si>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</si>
  <si>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</si>
  <si>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</si>
  <si>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</si>
  <si>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</si>
  <si>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</si>
  <si>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</si>
  <si>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</si>
  <si>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c:\Python\version311_x64\python.exe</t>
  </si>
  <si>
    <t>factsage_compound</t>
  </si>
  <si>
    <t>c:\FactSage\FACTDATA\ELEMbase.cdb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</si>
</sst>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1" xfId="0" applyBorder="1"/>
    <xf numFmtId="0" fontId="3" fillId="0" borderId="1" xfId="0" applyFont="1" applyBorder="1"/>
  </cellXfs>
  <cellStyles count="3">
    <cellStyle name="Normal" xfId="0" builtinId="0"/>
    <cellStyle name="Normal 2" xfId="1" xr:uid="{C7912330-A606-4EA3-AD40-F0382C976096}"/>
    <cellStyle name="Normal 3 2" xfId="2" xr:uid="{294641AA-4E2E-471F-B53C-873039ACD8ED}"/>
  </cellStyles>
  <dxfs count="0"/>
  <tableStyles count="0" defaultTableStyle="TableStyleMedium2" defaultPivotStyle="PivotStyleLight16"/>
  <colors>
    <mruColors>
      <color rgb="FFFF6969"/>
      <color rgb="FF0000FF"/>
      <color rgb="FFF6C0C0"/>
      <color rgb="FFFF5D5D"/>
      <color rgb="FFF58383"/>
      <color rgb="FFFFFFCC"/>
      <color rgb="FFF913DE"/>
      <color rgb="FFF24C4C"/>
      <color rgb="FFE99C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eetMetadata" Target="metadata.xml"/><Relationship Id="rId19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Optimization/Optimization.xlsm" TargetMode="External"/><Relationship Id="rId1" Type="http://schemas.openxmlformats.org/officeDocument/2006/relationships/externalLinkPath" Target="/_WORK/Optimization/Optimiz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xlwings.conf"/>
      <sheetName val="Search"/>
      <sheetName val="Data"/>
      <sheetName val="Tern"/>
      <sheetName val="Cp ZnO"/>
      <sheetName val="CaO-ZnO-SiO2 PD"/>
      <sheetName val="compare_databases"/>
      <sheetName val="CaO-SiO2 H,S"/>
      <sheetName val="CaO-SiO2 PD"/>
      <sheetName val="CaO-SiO2 HC"/>
      <sheetName val="CaO-SiO2 Cp"/>
      <sheetName val="CaO-ZnO PD"/>
      <sheetName val="ZnO-SiO2 PD"/>
      <sheetName val="ZnO-SiO2 H,S"/>
      <sheetName val="CaO-SiO2 ACT"/>
      <sheetName val="matrix1"/>
      <sheetName val="test"/>
      <sheetName val="derivatives"/>
      <sheetName val="derivatives Na2O-SiO2"/>
      <sheetName val="matrix2"/>
      <sheetName val="opt"/>
      <sheetName val="CaO-SiO2 PD1"/>
      <sheetName val="Optimization"/>
    </sheetNames>
    <sheetDataSet>
      <sheetData sheetId="0"/>
      <sheetData sheetId="1"/>
      <sheetData sheetId="2">
        <row r="6">
          <cell r="AT6" t="str">
            <v>_111_Figure_2</v>
          </cell>
          <cell r="HC6" t="str">
            <v>_2764_Figure_6</v>
          </cell>
          <cell r="HD6" t="str">
            <v>CaO-MgO melting PD</v>
          </cell>
        </row>
        <row r="7">
          <cell r="AT7" t="str">
            <v>wt% CaO</v>
          </cell>
          <cell r="AU7" t="str">
            <v>T, C</v>
          </cell>
          <cell r="AV7" t="str">
            <v>equilibrium</v>
          </cell>
          <cell r="HC7" t="str">
            <v>Compound</v>
          </cell>
          <cell r="HD7" t="str">
            <v>Tmelt, C</v>
          </cell>
        </row>
        <row r="8">
          <cell r="AT8">
            <v>65.111999999999995</v>
          </cell>
          <cell r="AU8">
            <v>2130.58</v>
          </cell>
          <cell r="AV8" t="str">
            <v>Ca2SiO4 liquidus</v>
          </cell>
          <cell r="HC8" t="str">
            <v>CaO</v>
          </cell>
          <cell r="HD8">
            <v>2908.67</v>
          </cell>
        </row>
        <row r="9">
          <cell r="AT9">
            <v>67.509200000000007</v>
          </cell>
          <cell r="AU9">
            <v>2089.19</v>
          </cell>
          <cell r="AV9" t="str">
            <v>Ca2SiO4 liquidus</v>
          </cell>
        </row>
        <row r="10">
          <cell r="AT10">
            <v>68.502499999999998</v>
          </cell>
          <cell r="AU10">
            <v>2070.91</v>
          </cell>
          <cell r="AV10" t="str">
            <v>Ca2SiO4 liquidus</v>
          </cell>
        </row>
        <row r="11">
          <cell r="AT11">
            <v>69.151200000000003</v>
          </cell>
          <cell r="AU11">
            <v>2059.41</v>
          </cell>
          <cell r="AV11" t="str">
            <v>Ca2SiO4 liquidus</v>
          </cell>
        </row>
        <row r="12">
          <cell r="AT12">
            <v>69.714299999999994</v>
          </cell>
          <cell r="AU12">
            <v>2059.25</v>
          </cell>
          <cell r="AV12" t="str">
            <v>Ca3SiO5 liquidus</v>
          </cell>
        </row>
        <row r="13">
          <cell r="AT13">
            <v>70.2577</v>
          </cell>
          <cell r="AU13">
            <v>2069.6999999999998</v>
          </cell>
          <cell r="AV13" t="str">
            <v>Ca3SiO5 liquidus</v>
          </cell>
        </row>
        <row r="14">
          <cell r="AT14">
            <v>70.752399999999994</v>
          </cell>
          <cell r="AU14">
            <v>2064.85</v>
          </cell>
          <cell r="AV14" t="str">
            <v>Ca3SiO5 liquidus</v>
          </cell>
        </row>
        <row r="15">
          <cell r="AT15">
            <v>71.490600000000001</v>
          </cell>
          <cell r="AU15">
            <v>2068.7399999999998</v>
          </cell>
          <cell r="AV15" t="str">
            <v>Ca3SiO5 liquidus</v>
          </cell>
        </row>
        <row r="16">
          <cell r="AT16">
            <v>71.989199999999997</v>
          </cell>
          <cell r="AU16">
            <v>2089.06</v>
          </cell>
          <cell r="AV16" t="str">
            <v>CaO liquidus</v>
          </cell>
        </row>
        <row r="17">
          <cell r="AT17">
            <v>73.715000000000003</v>
          </cell>
          <cell r="AU17">
            <v>2156</v>
          </cell>
          <cell r="AV17" t="str">
            <v>CaO liquidus</v>
          </cell>
        </row>
        <row r="18">
          <cell r="AT18">
            <v>67.515600000000006</v>
          </cell>
          <cell r="AU18">
            <v>2049.7199999999998</v>
          </cell>
          <cell r="AV18" t="str">
            <v>Ca2SiO4-Ca3SiO5 eutectic</v>
          </cell>
        </row>
        <row r="19">
          <cell r="AT19">
            <v>68.507900000000006</v>
          </cell>
          <cell r="AU19">
            <v>2049.8000000000002</v>
          </cell>
          <cell r="AV19" t="str">
            <v>Ca2SiO4-Ca3SiO5 eutectic</v>
          </cell>
        </row>
        <row r="20">
          <cell r="AT20">
            <v>69.152799999999999</v>
          </cell>
          <cell r="AU20">
            <v>2049.8200000000002</v>
          </cell>
          <cell r="AV20" t="str">
            <v>Ca2SiO4-Ca3SiO5 eutectic</v>
          </cell>
        </row>
        <row r="21">
          <cell r="AT21">
            <v>69.718199999999996</v>
          </cell>
          <cell r="AU21">
            <v>2049.66</v>
          </cell>
          <cell r="AV21" t="str">
            <v>Ca2SiO4-Ca3SiO5 eutectic</v>
          </cell>
        </row>
        <row r="22">
          <cell r="AT22">
            <v>70.272199999999998</v>
          </cell>
          <cell r="AU22">
            <v>2049.9699999999998</v>
          </cell>
          <cell r="AV22" t="str">
            <v>Ca2SiO4-Ca3SiO5 eutectic</v>
          </cell>
        </row>
        <row r="23">
          <cell r="AT23">
            <v>70.742199999999997</v>
          </cell>
          <cell r="AU23">
            <v>2049.92</v>
          </cell>
          <cell r="AV23" t="str">
            <v>Ca2SiO4-Ca3SiO5 eutectic</v>
          </cell>
        </row>
        <row r="24">
          <cell r="AT24">
            <v>71.496099999999998</v>
          </cell>
          <cell r="AU24">
            <v>2049.83</v>
          </cell>
          <cell r="AV24" t="str">
            <v>Ca2SiO4-Ca3SiO5 eutectic</v>
          </cell>
        </row>
        <row r="25">
          <cell r="AT25">
            <v>72.034300000000002</v>
          </cell>
          <cell r="AU25">
            <v>2050.0500000000002</v>
          </cell>
          <cell r="AV25" t="str">
            <v>Ca2SiO4-Ca3SiO5 eutectic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6C6E9-7A1B-4ED9-BDA8-C37111A47D77}">
  <sheetPr codeName="Sheet1"/>
  <dimension ref="A1:F35"/>
  <sheetViews>
    <sheetView workbookViewId="0">
      <selection activeCell="B7" sqref="B7"/>
    </sheetView>
  </sheetViews>
  <sheetFormatPr defaultRowHeight="14.5" x14ac:dyDescent="0.35"/>
  <cols>
    <col min="1" max="1" width="24" customWidth="1"/>
    <col min="2" max="2" width="68.453125" bestFit="1" customWidth="1"/>
  </cols>
  <sheetData>
    <row r="1" spans="1:6" x14ac:dyDescent="0.35">
      <c r="A1" s="1" t="s">
        <v>1</v>
      </c>
      <c r="B1" s="1" t="s">
        <v>14</v>
      </c>
      <c r="C1" s="1"/>
      <c r="D1" s="1"/>
      <c r="E1" s="1"/>
      <c r="F1" s="1"/>
    </row>
    <row r="2" spans="1:6" x14ac:dyDescent="0.35">
      <c r="A2" s="1" t="s">
        <v>2</v>
      </c>
      <c r="B2" s="1"/>
      <c r="C2" s="1"/>
      <c r="D2" s="1"/>
      <c r="E2" s="1"/>
      <c r="F2" s="1"/>
    </row>
    <row r="3" spans="1:6" x14ac:dyDescent="0.35">
      <c r="A3" s="1" t="s">
        <v>0</v>
      </c>
      <c r="B3" s="1"/>
      <c r="C3" s="1"/>
      <c r="D3" s="1"/>
      <c r="E3" s="1"/>
      <c r="F3" s="1"/>
    </row>
    <row r="4" spans="1:6" x14ac:dyDescent="0.35">
      <c r="A4" s="1" t="s">
        <v>3</v>
      </c>
      <c r="B4" s="1"/>
      <c r="C4" s="1"/>
      <c r="D4" s="1"/>
      <c r="E4" s="1"/>
      <c r="F4" s="1"/>
    </row>
    <row r="5" spans="1:6" x14ac:dyDescent="0.35">
      <c r="A5" s="1" t="s">
        <v>4</v>
      </c>
      <c r="B5" s="1"/>
      <c r="C5" s="1"/>
      <c r="D5" s="1"/>
      <c r="E5" s="1"/>
      <c r="F5" s="1"/>
    </row>
    <row r="6" spans="1:6" x14ac:dyDescent="0.35">
      <c r="A6" s="1" t="s">
        <v>5</v>
      </c>
      <c r="B6" s="1" t="s">
        <v>15</v>
      </c>
      <c r="C6" s="1"/>
      <c r="D6" s="1"/>
      <c r="E6" s="1"/>
      <c r="F6" s="1"/>
    </row>
    <row r="7" spans="1:6" x14ac:dyDescent="0.35">
      <c r="A7" s="1" t="s">
        <v>6</v>
      </c>
      <c r="B7" s="1" t="b">
        <v>0</v>
      </c>
      <c r="C7" s="1"/>
      <c r="D7" s="1"/>
      <c r="E7" s="1"/>
      <c r="F7" s="1"/>
    </row>
    <row r="8" spans="1:6" x14ac:dyDescent="0.35">
      <c r="A8" s="1" t="s">
        <v>7</v>
      </c>
      <c r="B8" s="1" t="b">
        <v>1</v>
      </c>
      <c r="C8" s="1"/>
      <c r="D8" s="1"/>
      <c r="E8" s="1"/>
      <c r="F8" s="1"/>
    </row>
    <row r="9" spans="1:6" x14ac:dyDescent="0.35">
      <c r="A9" s="1" t="s">
        <v>8</v>
      </c>
      <c r="B9" s="1" t="b">
        <v>1</v>
      </c>
      <c r="C9" s="1"/>
      <c r="D9" s="1"/>
      <c r="E9" s="1"/>
      <c r="F9" s="1"/>
    </row>
    <row r="10" spans="1:6" x14ac:dyDescent="0.35">
      <c r="A10" s="1"/>
      <c r="B10" s="1"/>
      <c r="C10" s="1"/>
      <c r="D10" s="1"/>
      <c r="E10" s="1"/>
      <c r="F10" s="1"/>
    </row>
    <row r="11" spans="1:6" x14ac:dyDescent="0.35">
      <c r="A11" s="1"/>
      <c r="B11" s="1"/>
      <c r="C11" s="1"/>
      <c r="D11" s="1"/>
      <c r="E11" s="1"/>
      <c r="F11" s="1"/>
    </row>
    <row r="12" spans="1:6" x14ac:dyDescent="0.35">
      <c r="A12" s="1"/>
      <c r="B12" s="1"/>
      <c r="C12" s="1"/>
      <c r="D12" s="1"/>
      <c r="E12" s="1"/>
      <c r="F12" s="1"/>
    </row>
    <row r="13" spans="1:6" x14ac:dyDescent="0.35">
      <c r="A13" s="1"/>
      <c r="B13" s="1"/>
      <c r="C13" s="1"/>
      <c r="D13" s="1"/>
      <c r="E13" s="1"/>
      <c r="F13" s="1"/>
    </row>
    <row r="14" spans="1:6" x14ac:dyDescent="0.35">
      <c r="A14" s="1"/>
      <c r="B14" s="1"/>
      <c r="C14" s="1"/>
      <c r="D14" s="1"/>
      <c r="E14" s="1"/>
      <c r="F14" s="1"/>
    </row>
    <row r="15" spans="1:6" x14ac:dyDescent="0.35">
      <c r="A15" s="1"/>
      <c r="B15" s="1"/>
      <c r="C15" s="1"/>
      <c r="D15" s="1"/>
      <c r="E15" s="1"/>
      <c r="F15" s="1"/>
    </row>
    <row r="16" spans="1:6" x14ac:dyDescent="0.35">
      <c r="A16" s="1"/>
      <c r="B16" s="1"/>
      <c r="C16" s="1"/>
      <c r="D16" s="1"/>
      <c r="E16" s="1"/>
      <c r="F16" s="1"/>
    </row>
    <row r="17" spans="1:6" x14ac:dyDescent="0.35">
      <c r="A17" s="1"/>
      <c r="B17" s="1"/>
      <c r="C17" s="1"/>
      <c r="D17" s="1"/>
      <c r="E17" s="1"/>
      <c r="F17" s="1"/>
    </row>
    <row r="18" spans="1:6" x14ac:dyDescent="0.35">
      <c r="A18" s="1"/>
      <c r="B18" s="1"/>
      <c r="C18" s="1"/>
      <c r="D18" s="1"/>
      <c r="E18" s="1"/>
      <c r="F18" s="1"/>
    </row>
    <row r="19" spans="1:6" ht="15.5" x14ac:dyDescent="0.35">
      <c r="A19" s="2" t="s">
        <v>9</v>
      </c>
      <c r="B19" s="1"/>
      <c r="C19" s="1"/>
      <c r="D19" s="1"/>
      <c r="E19" s="1"/>
      <c r="F19" s="1"/>
    </row>
    <row r="20" spans="1:6" x14ac:dyDescent="0.35">
      <c r="A20" s="1" t="s">
        <v>10</v>
      </c>
      <c r="B20" s="1"/>
      <c r="C20" s="1"/>
      <c r="D20" s="1"/>
      <c r="E20" s="1"/>
      <c r="F20" s="1"/>
    </row>
    <row r="21" spans="1:6" x14ac:dyDescent="0.35">
      <c r="A21" s="1" t="s">
        <v>11</v>
      </c>
      <c r="B21" s="1"/>
      <c r="C21" s="1"/>
      <c r="D21" s="1"/>
      <c r="E21" s="1"/>
      <c r="F21" s="1"/>
    </row>
    <row r="22" spans="1:6" x14ac:dyDescent="0.35">
      <c r="A22" s="1" t="s">
        <v>12</v>
      </c>
      <c r="B22" s="1"/>
      <c r="C22" s="1"/>
      <c r="D22" s="1"/>
      <c r="E22" s="1"/>
      <c r="F22" s="1"/>
    </row>
    <row r="23" spans="1:6" x14ac:dyDescent="0.35">
      <c r="A23" s="1" t="s">
        <v>13</v>
      </c>
      <c r="B23" s="1"/>
      <c r="C23" s="1"/>
      <c r="D23" s="1"/>
      <c r="E23" s="1"/>
      <c r="F23" s="1"/>
    </row>
    <row r="24" spans="1:6" x14ac:dyDescent="0.35">
      <c r="A24" s="1"/>
      <c r="B24" s="1"/>
      <c r="C24" s="1"/>
      <c r="D24" s="1"/>
      <c r="E24" s="1"/>
      <c r="F24" s="1"/>
    </row>
    <row r="25" spans="1:6" x14ac:dyDescent="0.35">
      <c r="A25" s="1"/>
      <c r="B25" s="1"/>
      <c r="C25" s="1"/>
      <c r="D25" s="1"/>
      <c r="E25" s="1"/>
      <c r="F25" s="1"/>
    </row>
    <row r="26" spans="1:6" x14ac:dyDescent="0.35">
      <c r="A26" s="1"/>
      <c r="B26" s="1"/>
      <c r="C26" s="1"/>
      <c r="D26" s="1"/>
      <c r="E26" s="1"/>
      <c r="F26" s="1"/>
    </row>
    <row r="27" spans="1:6" x14ac:dyDescent="0.35">
      <c r="A27" s="1"/>
      <c r="B27" s="1"/>
      <c r="C27" s="1"/>
      <c r="D27" s="1"/>
      <c r="E27" s="1"/>
      <c r="F27" s="1"/>
    </row>
    <row r="28" spans="1:6" x14ac:dyDescent="0.35">
      <c r="A28" s="1"/>
      <c r="B28" s="1"/>
      <c r="C28" s="1"/>
      <c r="D28" s="1"/>
      <c r="E28" s="1"/>
      <c r="F28" s="1"/>
    </row>
    <row r="29" spans="1:6" x14ac:dyDescent="0.35">
      <c r="A29" s="1"/>
      <c r="B29" s="1"/>
      <c r="C29" s="1"/>
      <c r="D29" s="1"/>
      <c r="E29" s="1"/>
      <c r="F29" s="1"/>
    </row>
    <row r="30" spans="1:6" x14ac:dyDescent="0.35">
      <c r="A30" s="1"/>
      <c r="B30" s="1"/>
      <c r="C30" s="1"/>
      <c r="D30" s="1"/>
      <c r="E30" s="1"/>
      <c r="F30" s="1"/>
    </row>
    <row r="31" spans="1:6" x14ac:dyDescent="0.35">
      <c r="A31" s="1"/>
      <c r="B31" s="1"/>
      <c r="C31" s="1"/>
      <c r="D31" s="1"/>
      <c r="E31" s="1"/>
      <c r="F31" s="1"/>
    </row>
    <row r="32" spans="1:6" x14ac:dyDescent="0.35">
      <c r="A32" s="1"/>
      <c r="B32" s="1"/>
      <c r="C32" s="1"/>
      <c r="D32" s="1"/>
      <c r="E32" s="1"/>
      <c r="F32" s="1"/>
    </row>
    <row r="33" spans="1:6" x14ac:dyDescent="0.35">
      <c r="A33" s="1"/>
      <c r="B33" s="1"/>
      <c r="C33" s="1"/>
      <c r="D33" s="1"/>
      <c r="E33" s="1"/>
      <c r="F33" s="1"/>
    </row>
    <row r="34" spans="1:6" x14ac:dyDescent="0.35">
      <c r="A34" s="1"/>
      <c r="B34" s="1"/>
      <c r="C34" s="1"/>
      <c r="D34" s="1"/>
      <c r="E34" s="1"/>
      <c r="F34" s="1"/>
    </row>
    <row r="35" spans="1:6" x14ac:dyDescent="0.35">
      <c r="A35" s="1"/>
      <c r="B35" s="1"/>
      <c r="C35" s="1"/>
      <c r="D35" s="1"/>
      <c r="E35" s="1"/>
      <c r="F35" s="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AD537-E886-4C01-8D63-DCA2C2533AAD}">
  <sheetPr codeName="Sheet2"/>
  <dimension ref="H6:AF571"/>
  <sheetViews>
    <sheetView tabSelected="1" workbookViewId="0">
      <selection activeCell="D40" sqref="D40"/>
    </sheetView>
  </sheetViews>
  <sheetFormatPr defaultRowHeight="14.5" x14ac:dyDescent="0.35"/>
  <cols>
    <col min="8" max="8" width="33.6328125" bestFit="1" customWidth="1"/>
    <col min="9" max="9" width="24.54296875" bestFit="1" customWidth="1"/>
    <col min="10" max="10" width="36.90625" bestFit="1" customWidth="1"/>
    <col min="11" max="11" width="12.453125" bestFit="1" customWidth="1"/>
    <col min="12" max="12" width="11.81640625" bestFit="1" customWidth="1"/>
    <col min="13" max="13" width="19.453125" bestFit="1" customWidth="1"/>
    <col min="14" max="14" width="20.7265625" bestFit="1" customWidth="1"/>
    <col min="15" max="15" width="13.90625" bestFit="1" customWidth="1"/>
    <col min="16" max="16" width="14.1796875" bestFit="1" customWidth="1"/>
    <col min="17" max="17" width="12.453125" bestFit="1" customWidth="1"/>
    <col min="18" max="18" width="10.453125" bestFit="1" customWidth="1"/>
    <col min="19" max="19" width="12.453125" bestFit="1" customWidth="1"/>
    <col min="20" max="20" width="10.453125" bestFit="1" customWidth="1"/>
    <col min="21" max="21" width="12.453125" bestFit="1" customWidth="1"/>
    <col min="22" max="22" width="10.453125" bestFit="1" customWidth="1"/>
    <col min="23" max="23" width="12.453125" bestFit="1" customWidth="1"/>
    <col min="24" max="24" width="10.453125" bestFit="1" customWidth="1"/>
    <col min="25" max="25" width="12.453125" bestFit="1" customWidth="1"/>
    <col min="26" max="26" width="10.453125" bestFit="1" customWidth="1"/>
    <col min="27" max="27" width="12.453125" bestFit="1" customWidth="1"/>
    <col min="28" max="28" width="10.453125" bestFit="1" customWidth="1"/>
    <col min="29" max="29" width="11.453125" bestFit="1" customWidth="1"/>
    <col min="30" max="30" width="10.453125" bestFit="1" customWidth="1"/>
    <col min="31" max="31" width="9.26953125" bestFit="1" customWidth="1"/>
    <col min="32" max="32" width="10.453125" bestFit="1" customWidth="1"/>
  </cols>
  <sheetData>
    <row r="6" spans="8:32" x14ac:dyDescent="0.35">
      <c r="H6" t="s">
        <v>16</v>
      </c>
    </row>
    <row r="10" spans="8:32" x14ac:dyDescent="0.35">
      <c r="H10" s="4" t="str" cm="1">
        <f t="array" ref="H10:AF571">factsage_list_compounds(H6)</f>
        <v>formula</v>
      </c>
      <c r="I10" s="4" t="str">
        <v>name</v>
      </c>
      <c r="J10" s="4" t="str">
        <v>phase</v>
      </c>
      <c r="K10" s="4" t="str">
        <v>H298</v>
      </c>
      <c r="L10" s="4" t="str">
        <v>S298</v>
      </c>
      <c r="M10" s="4" t="str">
        <v>enthalpy of transition</v>
      </c>
      <c r="N10" s="4" t="str">
        <v>transition temperature</v>
      </c>
      <c r="O10" s="4" t="str">
        <v>T(range) min, K</v>
      </c>
      <c r="P10" s="4" t="str">
        <v>T(range) max, K</v>
      </c>
      <c r="Q10" s="4" t="str">
        <v>CP(val)[1]</v>
      </c>
      <c r="R10" s="4" t="str">
        <v>CP(pow)[1]</v>
      </c>
      <c r="S10" s="4" t="str">
        <v>CP(val)[2]</v>
      </c>
      <c r="T10" s="4" t="str">
        <v>CP(pow)[2]</v>
      </c>
      <c r="U10" s="4" t="str">
        <v>CP(val)[3]</v>
      </c>
      <c r="V10" s="4" t="str">
        <v>CP(pow)[3]</v>
      </c>
      <c r="W10" s="4" t="str">
        <v>CP(val)[4]</v>
      </c>
      <c r="X10" s="4" t="str">
        <v>CP(pow)[4]</v>
      </c>
      <c r="Y10" s="4" t="str">
        <v>CP(val)[5]</v>
      </c>
      <c r="Z10" s="4" t="str">
        <v>CP(pow)[5]</v>
      </c>
      <c r="AA10" s="4" t="str">
        <v>CP(val)[6]</v>
      </c>
      <c r="AB10" s="4" t="str">
        <v>CP(pow)[6]</v>
      </c>
      <c r="AC10" s="4" t="str">
        <v>CP(val)[7]</v>
      </c>
      <c r="AD10" s="4" t="str">
        <v>CP(pow)[7]</v>
      </c>
      <c r="AE10" s="4" t="str">
        <v>CP(val)[8]</v>
      </c>
      <c r="AF10" s="4" t="str">
        <v>CP(pow)[8]</v>
      </c>
    </row>
    <row r="11" spans="8:32" x14ac:dyDescent="0.35">
      <c r="H11" s="3" t="str">
        <v>H2</v>
      </c>
      <c r="I11" s="3" t="str">
        <v>Hydrogen</v>
      </c>
      <c r="J11" s="3" t="str">
        <v>Gas-1</v>
      </c>
      <c r="K11" s="3">
        <v>0</v>
      </c>
      <c r="L11" s="3">
        <v>130.68</v>
      </c>
      <c r="M11" s="3" t="str">
        <v/>
      </c>
      <c r="N11" s="3" t="str">
        <v/>
      </c>
      <c r="O11" s="3">
        <v>298.14999999999998</v>
      </c>
      <c r="P11" s="3">
        <v>1200</v>
      </c>
      <c r="Q11" s="3">
        <v>19.825630547420701</v>
      </c>
      <c r="R11" s="3">
        <v>0</v>
      </c>
      <c r="S11" s="3">
        <v>3.07772746357113E-3</v>
      </c>
      <c r="T11" s="3">
        <v>1</v>
      </c>
      <c r="U11" s="3">
        <v>-295179.898681677</v>
      </c>
      <c r="V11" s="3">
        <v>-2</v>
      </c>
      <c r="W11" s="3">
        <v>1.4298449385900499E-6</v>
      </c>
      <c r="X11" s="3">
        <v>2</v>
      </c>
      <c r="Y11" s="3">
        <v>194.86124379932301</v>
      </c>
      <c r="Z11" s="3">
        <v>-0.5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</row>
    <row r="12" spans="8:32" x14ac:dyDescent="0.35">
      <c r="H12" s="3" t="str">
        <v>H2</v>
      </c>
      <c r="I12" s="3" t="str">
        <v>Hydrogen</v>
      </c>
      <c r="J12" s="3" t="str">
        <v>Gas-1</v>
      </c>
      <c r="K12" s="3">
        <v>0</v>
      </c>
      <c r="L12" s="3">
        <v>130.68</v>
      </c>
      <c r="M12" s="3" t="str">
        <v/>
      </c>
      <c r="N12" s="3" t="str">
        <v/>
      </c>
      <c r="O12" s="3">
        <v>1200</v>
      </c>
      <c r="P12" s="3">
        <v>4100</v>
      </c>
      <c r="Q12" s="3">
        <v>14.387460432204</v>
      </c>
      <c r="R12" s="3">
        <v>0</v>
      </c>
      <c r="S12" s="3">
        <v>2.0641075889404302E-3</v>
      </c>
      <c r="T12" s="3">
        <v>1</v>
      </c>
      <c r="U12" s="3">
        <v>20833154.9320421</v>
      </c>
      <c r="V12" s="3">
        <v>-2</v>
      </c>
      <c r="W12" s="3">
        <v>-74353.403999843198</v>
      </c>
      <c r="X12" s="3">
        <v>-1</v>
      </c>
      <c r="Y12" s="3">
        <v>2134.83456402518</v>
      </c>
      <c r="Z12" s="3">
        <v>-0.5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</row>
    <row r="13" spans="8:32" x14ac:dyDescent="0.35">
      <c r="H13" s="3" t="str">
        <v>H2</v>
      </c>
      <c r="I13" s="3" t="str">
        <v>Hydrogen</v>
      </c>
      <c r="J13" s="3" t="str">
        <v>Gas-1</v>
      </c>
      <c r="K13" s="3">
        <v>0</v>
      </c>
      <c r="L13" s="3">
        <v>130.68</v>
      </c>
      <c r="M13" s="3" t="str">
        <v/>
      </c>
      <c r="N13" s="3" t="str">
        <v/>
      </c>
      <c r="O13" s="3">
        <v>4100</v>
      </c>
      <c r="P13" s="3">
        <v>6000</v>
      </c>
      <c r="Q13" s="3">
        <v>-42.9570599543732</v>
      </c>
      <c r="R13" s="3">
        <v>0</v>
      </c>
      <c r="S13" s="3">
        <v>730731789.15508294</v>
      </c>
      <c r="T13" s="3">
        <v>-2</v>
      </c>
      <c r="U13" s="3">
        <v>-931953.89783964504</v>
      </c>
      <c r="V13" s="3">
        <v>-1</v>
      </c>
      <c r="W13" s="3">
        <v>17037.944862418499</v>
      </c>
      <c r="X13" s="3">
        <v>-0.5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</row>
    <row r="14" spans="8:32" x14ac:dyDescent="0.35">
      <c r="H14" s="3" t="str">
        <v>H2</v>
      </c>
      <c r="I14" s="3" t="str">
        <v>Hydrogen</v>
      </c>
      <c r="J14" s="3" t="str">
        <v>Aqueous</v>
      </c>
      <c r="K14" s="3">
        <v>-4184</v>
      </c>
      <c r="L14" s="3">
        <v>57.738999999999997</v>
      </c>
      <c r="M14" s="3" t="str">
        <v/>
      </c>
      <c r="N14" s="3" t="str">
        <v/>
      </c>
      <c r="O14" s="3">
        <v>289</v>
      </c>
      <c r="P14" s="3">
        <v>573</v>
      </c>
      <c r="Q14" s="3">
        <v>-305.31099999999998</v>
      </c>
      <c r="R14" s="3">
        <v>0</v>
      </c>
      <c r="S14" s="3">
        <v>0.68570299999999995</v>
      </c>
      <c r="T14" s="3">
        <v>1</v>
      </c>
      <c r="U14" s="3">
        <v>26420300</v>
      </c>
      <c r="V14" s="3">
        <v>-2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</row>
    <row r="15" spans="8:32" x14ac:dyDescent="0.35">
      <c r="H15" s="3" t="str">
        <v>He</v>
      </c>
      <c r="I15" s="3" t="str">
        <v>Helium</v>
      </c>
      <c r="J15" s="3" t="str">
        <v>Gas-1</v>
      </c>
      <c r="K15" s="3">
        <v>0</v>
      </c>
      <c r="L15" s="3">
        <v>126.152</v>
      </c>
      <c r="M15" s="3" t="str">
        <v/>
      </c>
      <c r="N15" s="3" t="str">
        <v/>
      </c>
      <c r="O15" s="3">
        <v>298.14999999999998</v>
      </c>
      <c r="P15" s="3">
        <v>6000</v>
      </c>
      <c r="Q15" s="3">
        <v>20.786000000000001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</row>
    <row r="16" spans="8:32" x14ac:dyDescent="0.35">
      <c r="H16" s="3" t="str">
        <v>He</v>
      </c>
      <c r="I16" s="3" t="str">
        <v>Helium</v>
      </c>
      <c r="J16" s="3" t="str">
        <v>Aqueous</v>
      </c>
      <c r="K16" s="3">
        <v>-1674</v>
      </c>
      <c r="L16" s="3">
        <v>55.646999999999998</v>
      </c>
      <c r="M16" s="3" t="str">
        <v/>
      </c>
      <c r="N16" s="3" t="str">
        <v/>
      </c>
      <c r="O16" s="3">
        <v>298.14999999999998</v>
      </c>
      <c r="P16" s="3">
        <v>298.14999999999998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</row>
    <row r="17" spans="8:32" x14ac:dyDescent="0.35">
      <c r="H17" s="3" t="str">
        <v>Li</v>
      </c>
      <c r="I17" s="3" t="str">
        <v>Lithium</v>
      </c>
      <c r="J17" s="3" t="str">
        <v>Solid-1</v>
      </c>
      <c r="K17" s="3">
        <v>0</v>
      </c>
      <c r="L17" s="3">
        <v>29.085000000000001</v>
      </c>
      <c r="M17" s="3" t="str">
        <v/>
      </c>
      <c r="N17" s="3" t="str">
        <v/>
      </c>
      <c r="O17" s="3">
        <v>298.14999999999998</v>
      </c>
      <c r="P17" s="3">
        <v>453.69</v>
      </c>
      <c r="Q17" s="3">
        <v>9.6044006471597303</v>
      </c>
      <c r="R17" s="3">
        <v>0</v>
      </c>
      <c r="S17" s="3">
        <v>4.0996560971212702E-2</v>
      </c>
      <c r="T17" s="3">
        <v>1</v>
      </c>
      <c r="U17" s="3">
        <v>248117.135719471</v>
      </c>
      <c r="V17" s="3">
        <v>-2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</row>
    <row r="18" spans="8:32" x14ac:dyDescent="0.35">
      <c r="H18" s="3" t="str">
        <v>Li</v>
      </c>
      <c r="I18" s="3" t="str">
        <v>Lithium</v>
      </c>
      <c r="J18" s="3" t="str">
        <v>Solid-1</v>
      </c>
      <c r="K18" s="3">
        <v>0</v>
      </c>
      <c r="L18" s="3">
        <v>29.085000000000001</v>
      </c>
      <c r="M18" s="3" t="str">
        <v/>
      </c>
      <c r="N18" s="3" t="str">
        <v/>
      </c>
      <c r="O18" s="3">
        <v>453.69</v>
      </c>
      <c r="P18" s="3">
        <v>1000</v>
      </c>
      <c r="Q18" s="3">
        <v>704.44798751474104</v>
      </c>
      <c r="R18" s="3">
        <v>0</v>
      </c>
      <c r="S18" s="3">
        <v>-0.100820506854977</v>
      </c>
      <c r="T18" s="3">
        <v>1</v>
      </c>
      <c r="U18" s="3">
        <v>-39127964.649632402</v>
      </c>
      <c r="V18" s="3">
        <v>-2</v>
      </c>
      <c r="W18" s="3">
        <v>491701.07472706999</v>
      </c>
      <c r="X18" s="3">
        <v>-1</v>
      </c>
      <c r="Y18" s="3">
        <v>-32439.5812149136</v>
      </c>
      <c r="Z18" s="3">
        <v>-0.5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</row>
    <row r="19" spans="8:32" x14ac:dyDescent="0.35">
      <c r="H19" s="3" t="str">
        <v>Li</v>
      </c>
      <c r="I19" s="3" t="str">
        <v>Lithium</v>
      </c>
      <c r="J19" s="3" t="str">
        <v>Solid-1</v>
      </c>
      <c r="K19" s="3">
        <v>0</v>
      </c>
      <c r="L19" s="3">
        <v>29.085000000000001</v>
      </c>
      <c r="M19" s="3" t="str">
        <v/>
      </c>
      <c r="N19" s="3" t="str">
        <v/>
      </c>
      <c r="O19" s="3">
        <v>1000</v>
      </c>
      <c r="P19" s="3">
        <v>1001</v>
      </c>
      <c r="Q19" s="3">
        <v>28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</row>
    <row r="20" spans="8:32" x14ac:dyDescent="0.35">
      <c r="H20" s="3" t="str">
        <v>Li</v>
      </c>
      <c r="I20" s="3" t="str">
        <v>Lithium</v>
      </c>
      <c r="J20" s="3" t="str">
        <v>Liquid-1</v>
      </c>
      <c r="K20" s="3" t="str">
        <v/>
      </c>
      <c r="L20" s="3" t="str">
        <v/>
      </c>
      <c r="M20" s="3">
        <v>3000</v>
      </c>
      <c r="N20" s="3">
        <v>453.69</v>
      </c>
      <c r="O20" s="3">
        <v>298.14999999999998</v>
      </c>
      <c r="P20" s="3">
        <v>700</v>
      </c>
      <c r="Q20" s="3">
        <v>32.969960250067402</v>
      </c>
      <c r="R20" s="3">
        <v>0</v>
      </c>
      <c r="S20" s="3">
        <v>-5.7104474128978301E-3</v>
      </c>
      <c r="T20" s="3">
        <v>1</v>
      </c>
      <c r="U20" s="3">
        <v>2891.8589442900002</v>
      </c>
      <c r="V20" s="3">
        <v>-2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</row>
    <row r="21" spans="8:32" x14ac:dyDescent="0.35">
      <c r="H21" s="3" t="str">
        <v>Li</v>
      </c>
      <c r="I21" s="3" t="str">
        <v>Lithium</v>
      </c>
      <c r="J21" s="3" t="str">
        <v>Liquid-1</v>
      </c>
      <c r="K21" s="3" t="str">
        <v/>
      </c>
      <c r="L21" s="3" t="str">
        <v/>
      </c>
      <c r="M21" s="3">
        <v>3000</v>
      </c>
      <c r="N21" s="3">
        <v>453.69</v>
      </c>
      <c r="O21" s="3">
        <v>700</v>
      </c>
      <c r="P21" s="3">
        <v>1620.12</v>
      </c>
      <c r="Q21" s="3">
        <v>88.196822089784305</v>
      </c>
      <c r="R21" s="3">
        <v>0</v>
      </c>
      <c r="S21" s="3">
        <v>-7.2489610556561402E-3</v>
      </c>
      <c r="T21" s="3">
        <v>1</v>
      </c>
      <c r="U21" s="3">
        <v>-5866270.2449973999</v>
      </c>
      <c r="V21" s="3">
        <v>-2</v>
      </c>
      <c r="W21" s="3">
        <v>56151.037146144598</v>
      </c>
      <c r="X21" s="3">
        <v>-1</v>
      </c>
      <c r="Y21" s="3">
        <v>-3238.07650021261</v>
      </c>
      <c r="Z21" s="3">
        <v>-0.5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</row>
    <row r="22" spans="8:32" x14ac:dyDescent="0.35">
      <c r="H22" s="3" t="str">
        <v>Li</v>
      </c>
      <c r="I22" s="3" t="str">
        <v>Lithium</v>
      </c>
      <c r="J22" s="3" t="str">
        <v>Liquid-1</v>
      </c>
      <c r="K22" s="3" t="str">
        <v/>
      </c>
      <c r="L22" s="3" t="str">
        <v/>
      </c>
      <c r="M22" s="3">
        <v>3000</v>
      </c>
      <c r="N22" s="3">
        <v>453.69</v>
      </c>
      <c r="O22" s="3">
        <v>1620.12</v>
      </c>
      <c r="P22" s="3">
        <v>2200</v>
      </c>
      <c r="Q22" s="3">
        <v>-33.815565309330502</v>
      </c>
      <c r="R22" s="3">
        <v>0</v>
      </c>
      <c r="S22" s="3">
        <v>83496215.280223206</v>
      </c>
      <c r="T22" s="3">
        <v>-2</v>
      </c>
      <c r="U22" s="3">
        <v>-249852.863696924</v>
      </c>
      <c r="V22" s="3">
        <v>-1</v>
      </c>
      <c r="W22" s="3">
        <v>7432.3844687942201</v>
      </c>
      <c r="X22" s="3">
        <v>-0.5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</row>
    <row r="23" spans="8:32" x14ac:dyDescent="0.35">
      <c r="H23" s="3" t="str">
        <v>Li</v>
      </c>
      <c r="I23" s="3" t="str">
        <v>Lithium</v>
      </c>
      <c r="J23" s="3" t="str">
        <v>Gas-1</v>
      </c>
      <c r="K23" s="3">
        <v>159300</v>
      </c>
      <c r="L23" s="3">
        <v>138.78100000000001</v>
      </c>
      <c r="M23" s="3" t="str">
        <v/>
      </c>
      <c r="N23" s="3" t="str">
        <v/>
      </c>
      <c r="O23" s="3">
        <v>298.14999999999998</v>
      </c>
      <c r="P23" s="3">
        <v>1620.12</v>
      </c>
      <c r="Q23" s="3">
        <v>20.7870555555556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</row>
    <row r="24" spans="8:32" x14ac:dyDescent="0.35">
      <c r="H24" s="3" t="str">
        <v>Li</v>
      </c>
      <c r="I24" s="3" t="str">
        <v>Lithium</v>
      </c>
      <c r="J24" s="3" t="str">
        <v>Gas-1</v>
      </c>
      <c r="K24" s="3">
        <v>159300</v>
      </c>
      <c r="L24" s="3">
        <v>138.78100000000001</v>
      </c>
      <c r="M24" s="3" t="str">
        <v/>
      </c>
      <c r="N24" s="3" t="str">
        <v/>
      </c>
      <c r="O24" s="3">
        <v>1620.12</v>
      </c>
      <c r="P24" s="3">
        <v>4500</v>
      </c>
      <c r="Q24" s="3">
        <v>-94.929450903577305</v>
      </c>
      <c r="R24" s="3">
        <v>0</v>
      </c>
      <c r="S24" s="3">
        <v>9.23343884938874E-3</v>
      </c>
      <c r="T24" s="3">
        <v>1</v>
      </c>
      <c r="U24" s="3">
        <v>19391256.216639198</v>
      </c>
      <c r="V24" s="3">
        <v>-2</v>
      </c>
      <c r="W24" s="3">
        <v>-151806.27043773601</v>
      </c>
      <c r="X24" s="3">
        <v>-1</v>
      </c>
      <c r="Y24" s="3">
        <v>7529.7060101329198</v>
      </c>
      <c r="Z24" s="3">
        <v>-0.5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</row>
    <row r="25" spans="8:32" x14ac:dyDescent="0.35">
      <c r="H25" s="3" t="str">
        <v>Li</v>
      </c>
      <c r="I25" s="3" t="str">
        <v>Lithium</v>
      </c>
      <c r="J25" s="3" t="str">
        <v>Gas-1</v>
      </c>
      <c r="K25" s="3">
        <v>159300</v>
      </c>
      <c r="L25" s="3">
        <v>138.78100000000001</v>
      </c>
      <c r="M25" s="3" t="str">
        <v/>
      </c>
      <c r="N25" s="3" t="str">
        <v/>
      </c>
      <c r="O25" s="3">
        <v>4500</v>
      </c>
      <c r="P25" s="3">
        <v>6000</v>
      </c>
      <c r="Q25" s="3">
        <v>496.943466538439</v>
      </c>
      <c r="R25" s="3">
        <v>0</v>
      </c>
      <c r="S25" s="3">
        <v>-2245886848.4994402</v>
      </c>
      <c r="T25" s="3">
        <v>-2</v>
      </c>
      <c r="U25" s="3">
        <v>3461832.1049321</v>
      </c>
      <c r="V25" s="3">
        <v>-1</v>
      </c>
      <c r="W25" s="3">
        <v>-75751.814483176204</v>
      </c>
      <c r="X25" s="3">
        <v>-0.5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</row>
    <row r="26" spans="8:32" x14ac:dyDescent="0.35">
      <c r="H26" s="3" t="str">
        <v>Be</v>
      </c>
      <c r="I26" s="3" t="str">
        <v>Beryllium</v>
      </c>
      <c r="J26" s="3" t="str">
        <v>Solid alpha</v>
      </c>
      <c r="K26" s="3">
        <v>0</v>
      </c>
      <c r="L26" s="3">
        <v>9.44</v>
      </c>
      <c r="M26" s="3" t="str">
        <v/>
      </c>
      <c r="N26" s="3" t="str">
        <v/>
      </c>
      <c r="O26" s="3">
        <v>298.14999999999998</v>
      </c>
      <c r="P26" s="3">
        <v>1527</v>
      </c>
      <c r="Q26" s="3">
        <v>15.927985632678601</v>
      </c>
      <c r="R26" s="3">
        <v>0</v>
      </c>
      <c r="S26" s="3">
        <v>9.0395286600118904E-3</v>
      </c>
      <c r="T26" s="3">
        <v>1</v>
      </c>
      <c r="U26" s="3">
        <v>-689613.66571984696</v>
      </c>
      <c r="V26" s="3">
        <v>-2</v>
      </c>
      <c r="W26" s="3">
        <v>95.020002116237706</v>
      </c>
      <c r="X26" s="3">
        <v>-0.5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</row>
    <row r="27" spans="8:32" x14ac:dyDescent="0.35">
      <c r="H27" s="3" t="str">
        <v>Be</v>
      </c>
      <c r="I27" s="3" t="str">
        <v>Beryllium</v>
      </c>
      <c r="J27" s="3" t="str">
        <v>Solid beta</v>
      </c>
      <c r="K27" s="3" t="str">
        <v/>
      </c>
      <c r="L27" s="3" t="str">
        <v/>
      </c>
      <c r="M27" s="3">
        <v>6849</v>
      </c>
      <c r="N27" s="3">
        <v>1527</v>
      </c>
      <c r="O27" s="3">
        <v>298.14999999999998</v>
      </c>
      <c r="P27" s="3">
        <v>1527</v>
      </c>
      <c r="Q27" s="3">
        <v>15.9279856</v>
      </c>
      <c r="R27" s="3">
        <v>0</v>
      </c>
      <c r="S27" s="3">
        <v>9.0395285999999991E-3</v>
      </c>
      <c r="T27" s="3">
        <v>1</v>
      </c>
      <c r="U27" s="3">
        <v>-689613.6</v>
      </c>
      <c r="V27" s="3">
        <v>-2</v>
      </c>
      <c r="W27" s="3">
        <v>95.020002099999999</v>
      </c>
      <c r="X27" s="3">
        <v>-0.5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</row>
    <row r="28" spans="8:32" x14ac:dyDescent="0.35">
      <c r="H28" s="3" t="str">
        <v>Be</v>
      </c>
      <c r="I28" s="3" t="str">
        <v>Beryllium</v>
      </c>
      <c r="J28" s="3" t="str">
        <v>Solid beta</v>
      </c>
      <c r="K28" s="3" t="str">
        <v/>
      </c>
      <c r="L28" s="3" t="str">
        <v/>
      </c>
      <c r="M28" s="3">
        <v>6849</v>
      </c>
      <c r="N28" s="3">
        <v>1527</v>
      </c>
      <c r="O28" s="3">
        <v>1527</v>
      </c>
      <c r="P28" s="3">
        <v>2000</v>
      </c>
      <c r="Q28" s="3">
        <v>30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</row>
    <row r="29" spans="8:32" x14ac:dyDescent="0.35">
      <c r="H29" s="3" t="str">
        <v>Be</v>
      </c>
      <c r="I29" s="3" t="str">
        <v>Beryllium</v>
      </c>
      <c r="J29" s="3" t="str">
        <v>Liquid</v>
      </c>
      <c r="K29" s="3" t="str">
        <v/>
      </c>
      <c r="L29" s="3" t="str">
        <v/>
      </c>
      <c r="M29" s="3">
        <v>7895</v>
      </c>
      <c r="N29" s="3">
        <v>1560</v>
      </c>
      <c r="O29" s="3">
        <v>298.14999999999998</v>
      </c>
      <c r="P29" s="3">
        <v>1150</v>
      </c>
      <c r="Q29" s="3">
        <v>18.956105276617201</v>
      </c>
      <c r="R29" s="3">
        <v>0</v>
      </c>
      <c r="S29" s="3">
        <v>8.1898149952357308E-3</v>
      </c>
      <c r="T29" s="3">
        <v>1</v>
      </c>
      <c r="U29" s="3">
        <v>-694153.07053341903</v>
      </c>
      <c r="V29" s="3">
        <v>-2</v>
      </c>
      <c r="W29" s="3">
        <v>830.88815082911401</v>
      </c>
      <c r="X29" s="3">
        <v>-1</v>
      </c>
      <c r="Y29" s="3">
        <v>0</v>
      </c>
      <c r="Z29" s="3">
        <v>0</v>
      </c>
      <c r="AA29" s="3">
        <v>0</v>
      </c>
      <c r="AB29" s="3">
        <v>0</v>
      </c>
      <c r="AC29" s="3">
        <v>0</v>
      </c>
      <c r="AD29" s="3">
        <v>0</v>
      </c>
      <c r="AE29" s="3">
        <v>0</v>
      </c>
      <c r="AF29" s="3">
        <v>0</v>
      </c>
    </row>
    <row r="30" spans="8:32" x14ac:dyDescent="0.35">
      <c r="H30" s="3" t="str">
        <v>Be</v>
      </c>
      <c r="I30" s="3" t="str">
        <v>Beryllium</v>
      </c>
      <c r="J30" s="3" t="str">
        <v>Liquid</v>
      </c>
      <c r="K30" s="3" t="str">
        <v/>
      </c>
      <c r="L30" s="3" t="str">
        <v/>
      </c>
      <c r="M30" s="3">
        <v>7895</v>
      </c>
      <c r="N30" s="3">
        <v>1560</v>
      </c>
      <c r="O30" s="3">
        <v>1150</v>
      </c>
      <c r="P30" s="3">
        <v>3500</v>
      </c>
      <c r="Q30" s="3">
        <v>25.434117906115201</v>
      </c>
      <c r="R30" s="3">
        <v>0</v>
      </c>
      <c r="S30" s="3">
        <v>2.1499551665208599E-3</v>
      </c>
      <c r="T30" s="3">
        <v>1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3">
        <v>0</v>
      </c>
      <c r="AC30" s="3">
        <v>0</v>
      </c>
      <c r="AD30" s="3">
        <v>0</v>
      </c>
      <c r="AE30" s="3">
        <v>0</v>
      </c>
      <c r="AF30" s="3">
        <v>0</v>
      </c>
    </row>
    <row r="31" spans="8:32" x14ac:dyDescent="0.35">
      <c r="H31" s="3" t="str">
        <v>Be</v>
      </c>
      <c r="I31" s="3" t="str">
        <v>Beryllium</v>
      </c>
      <c r="J31" s="3" t="str">
        <v>Gas</v>
      </c>
      <c r="K31" s="3">
        <v>324000</v>
      </c>
      <c r="L31" s="3">
        <v>136.274</v>
      </c>
      <c r="M31" s="3" t="str">
        <v/>
      </c>
      <c r="N31" s="3" t="str">
        <v/>
      </c>
      <c r="O31" s="3">
        <v>298.14999999999998</v>
      </c>
      <c r="P31" s="3">
        <v>2741.44</v>
      </c>
      <c r="Q31" s="3">
        <v>20.734663616120201</v>
      </c>
      <c r="R31" s="3">
        <v>0</v>
      </c>
      <c r="S31" s="3">
        <v>3.2509592532562E-5</v>
      </c>
      <c r="T31" s="3">
        <v>1</v>
      </c>
      <c r="U31" s="3">
        <v>3737.7677628146898</v>
      </c>
      <c r="V31" s="3">
        <v>-2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</row>
    <row r="32" spans="8:32" x14ac:dyDescent="0.35">
      <c r="H32" s="3" t="str">
        <v>Be</v>
      </c>
      <c r="I32" s="3" t="str">
        <v>Beryllium</v>
      </c>
      <c r="J32" s="3" t="str">
        <v>Gas</v>
      </c>
      <c r="K32" s="3">
        <v>324000</v>
      </c>
      <c r="L32" s="3">
        <v>136.274</v>
      </c>
      <c r="M32" s="3" t="str">
        <v/>
      </c>
      <c r="N32" s="3" t="str">
        <v/>
      </c>
      <c r="O32" s="3">
        <v>2741.44</v>
      </c>
      <c r="P32" s="3">
        <v>6000</v>
      </c>
      <c r="Q32" s="3">
        <v>282.72698899812298</v>
      </c>
      <c r="R32" s="3">
        <v>0</v>
      </c>
      <c r="S32" s="3">
        <v>-740966144.30241501</v>
      </c>
      <c r="T32" s="3">
        <v>-2</v>
      </c>
      <c r="U32" s="3">
        <v>-37475.632767018098</v>
      </c>
      <c r="V32" s="3">
        <v>-0.5</v>
      </c>
      <c r="W32" s="3">
        <v>1514494.89342784</v>
      </c>
      <c r="X32" s="3">
        <v>-1</v>
      </c>
      <c r="Y32" s="3">
        <v>0</v>
      </c>
      <c r="Z32" s="3">
        <v>0</v>
      </c>
      <c r="AA32" s="3">
        <v>0</v>
      </c>
      <c r="AB32" s="3">
        <v>0</v>
      </c>
      <c r="AC32" s="3">
        <v>0</v>
      </c>
      <c r="AD32" s="3">
        <v>0</v>
      </c>
      <c r="AE32" s="3">
        <v>0</v>
      </c>
      <c r="AF32" s="3">
        <v>0</v>
      </c>
    </row>
    <row r="33" spans="8:32" x14ac:dyDescent="0.35">
      <c r="H33" s="3" t="str">
        <v>B</v>
      </c>
      <c r="I33" s="3" t="str">
        <v>Boron, Beta-Rhombohedral</v>
      </c>
      <c r="J33" s="3" t="str">
        <v>Solid, Beta-Rhombohedral</v>
      </c>
      <c r="K33" s="3">
        <v>0</v>
      </c>
      <c r="L33" s="3">
        <v>5.8339999999999996</v>
      </c>
      <c r="M33" s="3" t="str">
        <v/>
      </c>
      <c r="N33" s="3" t="str">
        <v/>
      </c>
      <c r="O33" s="3">
        <v>298.14999999999998</v>
      </c>
      <c r="P33" s="3">
        <v>2350</v>
      </c>
      <c r="Q33" s="3">
        <v>24.137417137383299</v>
      </c>
      <c r="R33" s="3">
        <v>0</v>
      </c>
      <c r="S33" s="3">
        <v>2.9429518327759399E-3</v>
      </c>
      <c r="T33" s="3">
        <v>1</v>
      </c>
      <c r="U33" s="3">
        <v>-2474544.0298013999</v>
      </c>
      <c r="V33" s="3">
        <v>-2</v>
      </c>
      <c r="W33" s="3">
        <v>374421034.53833902</v>
      </c>
      <c r="X33" s="3">
        <v>-3</v>
      </c>
      <c r="Y33" s="3">
        <v>0</v>
      </c>
      <c r="Z33" s="3">
        <v>0</v>
      </c>
      <c r="AA33" s="3">
        <v>0</v>
      </c>
      <c r="AB33" s="3">
        <v>0</v>
      </c>
      <c r="AC33" s="3">
        <v>0</v>
      </c>
      <c r="AD33" s="3">
        <v>0</v>
      </c>
      <c r="AE33" s="3">
        <v>0</v>
      </c>
      <c r="AF33" s="3">
        <v>0</v>
      </c>
    </row>
    <row r="34" spans="8:32" x14ac:dyDescent="0.35">
      <c r="H34" s="3" t="str">
        <v>B</v>
      </c>
      <c r="I34" s="3" t="str">
        <v>Boron, Beta-Rhombohedral</v>
      </c>
      <c r="J34" s="3" t="str">
        <v>Solid, Beta-Rhombohedral</v>
      </c>
      <c r="K34" s="3">
        <v>0</v>
      </c>
      <c r="L34" s="3">
        <v>5.8339999999999996</v>
      </c>
      <c r="M34" s="3" t="str">
        <v/>
      </c>
      <c r="N34" s="3" t="str">
        <v/>
      </c>
      <c r="O34" s="3">
        <v>2350</v>
      </c>
      <c r="P34" s="3">
        <v>2800</v>
      </c>
      <c r="Q34" s="3">
        <v>24.690647684920901</v>
      </c>
      <c r="R34" s="3">
        <v>0</v>
      </c>
      <c r="S34" s="3">
        <v>2.81123083209816E-3</v>
      </c>
      <c r="T34" s="3">
        <v>1</v>
      </c>
      <c r="U34" s="3">
        <v>-3660972.9471030701</v>
      </c>
      <c r="V34" s="3">
        <v>-2</v>
      </c>
      <c r="W34" s="3">
        <v>0</v>
      </c>
      <c r="X34" s="3">
        <v>0</v>
      </c>
      <c r="Y34" s="3">
        <v>0</v>
      </c>
      <c r="Z34" s="3">
        <v>0</v>
      </c>
      <c r="AA34" s="3">
        <v>0</v>
      </c>
      <c r="AB34" s="3">
        <v>0</v>
      </c>
      <c r="AC34" s="3">
        <v>0</v>
      </c>
      <c r="AD34" s="3">
        <v>0</v>
      </c>
      <c r="AE34" s="3">
        <v>0</v>
      </c>
      <c r="AF34" s="3">
        <v>0</v>
      </c>
    </row>
    <row r="35" spans="8:32" x14ac:dyDescent="0.35">
      <c r="H35" s="3" t="str">
        <v>B</v>
      </c>
      <c r="I35" s="3" t="str">
        <v>Boron, Beta-Rhombohedral</v>
      </c>
      <c r="J35" s="3" t="str">
        <v>Liquid-1</v>
      </c>
      <c r="K35" s="3" t="str">
        <v/>
      </c>
      <c r="L35" s="3" t="str">
        <v/>
      </c>
      <c r="M35" s="3">
        <v>50200</v>
      </c>
      <c r="N35" s="3">
        <v>2350</v>
      </c>
      <c r="O35" s="3">
        <v>298.14999999999998</v>
      </c>
      <c r="P35" s="3">
        <v>1750</v>
      </c>
      <c r="Q35" s="3">
        <v>26.4401332463903</v>
      </c>
      <c r="R35" s="3">
        <v>0</v>
      </c>
      <c r="S35" s="3">
        <v>-2933627.8066349099</v>
      </c>
      <c r="T35" s="3">
        <v>-2</v>
      </c>
      <c r="U35" s="3">
        <v>9.95581848067444E-7</v>
      </c>
      <c r="V35" s="3">
        <v>2</v>
      </c>
      <c r="W35" s="3">
        <v>472028966.36307698</v>
      </c>
      <c r="X35" s="3">
        <v>-3</v>
      </c>
      <c r="Y35" s="3">
        <v>0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</row>
    <row r="36" spans="8:32" x14ac:dyDescent="0.35">
      <c r="H36" s="3" t="str">
        <v>B</v>
      </c>
      <c r="I36" s="3" t="str">
        <v>Boron, Beta-Rhombohedral</v>
      </c>
      <c r="J36" s="3" t="str">
        <v>Liquid-1</v>
      </c>
      <c r="K36" s="3" t="str">
        <v/>
      </c>
      <c r="L36" s="3" t="str">
        <v/>
      </c>
      <c r="M36" s="3">
        <v>50200</v>
      </c>
      <c r="N36" s="3">
        <v>2350</v>
      </c>
      <c r="O36" s="3">
        <v>1750</v>
      </c>
      <c r="P36" s="3">
        <v>4500</v>
      </c>
      <c r="Q36" s="3">
        <v>31.75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  <c r="AC36" s="3">
        <v>0</v>
      </c>
      <c r="AD36" s="3">
        <v>0</v>
      </c>
      <c r="AE36" s="3">
        <v>0</v>
      </c>
      <c r="AF36" s="3">
        <v>0</v>
      </c>
    </row>
    <row r="37" spans="8:32" x14ac:dyDescent="0.35">
      <c r="H37" s="3" t="str">
        <v>B</v>
      </c>
      <c r="I37" s="3" t="str">
        <v>Boron, Beta-Rhombohedral</v>
      </c>
      <c r="J37" s="3" t="str">
        <v>Gas-1</v>
      </c>
      <c r="K37" s="3">
        <v>560000</v>
      </c>
      <c r="L37" s="3">
        <v>153.435</v>
      </c>
      <c r="M37" s="3" t="str">
        <v/>
      </c>
      <c r="N37" s="3" t="str">
        <v/>
      </c>
      <c r="O37" s="3">
        <v>298.14999999999998</v>
      </c>
      <c r="P37" s="3">
        <v>3000</v>
      </c>
      <c r="Q37" s="3">
        <v>20.7854911790131</v>
      </c>
      <c r="R37" s="3">
        <v>0</v>
      </c>
      <c r="S37" s="3">
        <v>958.24822129157099</v>
      </c>
      <c r="T37" s="3">
        <v>-2</v>
      </c>
      <c r="U37" s="3">
        <v>1.8686635033862799E-10</v>
      </c>
      <c r="V37" s="3">
        <v>2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3">
        <v>0</v>
      </c>
      <c r="AC37" s="3">
        <v>0</v>
      </c>
      <c r="AD37" s="3">
        <v>0</v>
      </c>
      <c r="AE37" s="3">
        <v>0</v>
      </c>
      <c r="AF37" s="3">
        <v>0</v>
      </c>
    </row>
    <row r="38" spans="8:32" x14ac:dyDescent="0.35">
      <c r="H38" s="3" t="str">
        <v>B</v>
      </c>
      <c r="I38" s="3" t="str">
        <v>Boron, Beta-Rhombohedral</v>
      </c>
      <c r="J38" s="3" t="str">
        <v>Gas-1</v>
      </c>
      <c r="K38" s="3">
        <v>560000</v>
      </c>
      <c r="L38" s="3">
        <v>153.435</v>
      </c>
      <c r="M38" s="3" t="str">
        <v/>
      </c>
      <c r="N38" s="3" t="str">
        <v/>
      </c>
      <c r="O38" s="3">
        <v>3000</v>
      </c>
      <c r="P38" s="3">
        <v>6000</v>
      </c>
      <c r="Q38" s="3">
        <v>-113.033157623939</v>
      </c>
      <c r="R38" s="3">
        <v>0</v>
      </c>
      <c r="S38" s="3">
        <v>4.7031342791069202E-3</v>
      </c>
      <c r="T38" s="3">
        <v>1</v>
      </c>
      <c r="U38" s="3">
        <v>155262890.597404</v>
      </c>
      <c r="V38" s="3">
        <v>-2</v>
      </c>
      <c r="W38" s="3">
        <v>-429904.72394609998</v>
      </c>
      <c r="X38" s="3">
        <v>-1</v>
      </c>
      <c r="Y38" s="3">
        <v>13460.894018004199</v>
      </c>
      <c r="Z38" s="3">
        <v>-0.5</v>
      </c>
      <c r="AA38" s="3">
        <v>0</v>
      </c>
      <c r="AB38" s="3">
        <v>0</v>
      </c>
      <c r="AC38" s="3">
        <v>0</v>
      </c>
      <c r="AD38" s="3">
        <v>0</v>
      </c>
      <c r="AE38" s="3">
        <v>0</v>
      </c>
      <c r="AF38" s="3">
        <v>0</v>
      </c>
    </row>
    <row r="39" spans="8:32" x14ac:dyDescent="0.35">
      <c r="H39" s="3" t="str">
        <v>C</v>
      </c>
      <c r="I39" s="3" t="str">
        <v>Carbon</v>
      </c>
      <c r="J39" s="3" t="str">
        <v>Graphite</v>
      </c>
      <c r="K39" s="3">
        <v>0</v>
      </c>
      <c r="L39" s="3">
        <v>5.74</v>
      </c>
      <c r="M39" s="3" t="str">
        <v/>
      </c>
      <c r="N39" s="3" t="str">
        <v/>
      </c>
      <c r="O39" s="3">
        <v>298.14999999999998</v>
      </c>
      <c r="P39" s="3">
        <v>1000</v>
      </c>
      <c r="Q39" s="3">
        <v>61.179097567247801</v>
      </c>
      <c r="R39" s="3">
        <v>0</v>
      </c>
      <c r="S39" s="3">
        <v>-8.01769073233192E-3</v>
      </c>
      <c r="T39" s="3">
        <v>1</v>
      </c>
      <c r="U39" s="3">
        <v>825569.97354207304</v>
      </c>
      <c r="V39" s="3">
        <v>-2</v>
      </c>
      <c r="W39" s="3">
        <v>-1024.0139505505899</v>
      </c>
      <c r="X39" s="3">
        <v>-0.5</v>
      </c>
      <c r="Y39" s="3">
        <v>-6604775.6501583597</v>
      </c>
      <c r="Z39" s="3">
        <v>-3</v>
      </c>
      <c r="AA39" s="3">
        <v>0</v>
      </c>
      <c r="AB39" s="3">
        <v>0</v>
      </c>
      <c r="AC39" s="3">
        <v>0</v>
      </c>
      <c r="AD39" s="3">
        <v>0</v>
      </c>
      <c r="AE39" s="3">
        <v>0</v>
      </c>
      <c r="AF39" s="3">
        <v>0</v>
      </c>
    </row>
    <row r="40" spans="8:32" x14ac:dyDescent="0.35">
      <c r="H40" s="3" t="str">
        <v>C</v>
      </c>
      <c r="I40" s="3" t="str">
        <v>Carbon</v>
      </c>
      <c r="J40" s="3" t="str">
        <v>Graphite</v>
      </c>
      <c r="K40" s="3">
        <v>0</v>
      </c>
      <c r="L40" s="3">
        <v>5.74</v>
      </c>
      <c r="M40" s="3" t="str">
        <v/>
      </c>
      <c r="N40" s="3" t="str">
        <v/>
      </c>
      <c r="O40" s="3">
        <v>1000</v>
      </c>
      <c r="P40" s="3">
        <v>6000</v>
      </c>
      <c r="Q40" s="3">
        <v>24.778074575881</v>
      </c>
      <c r="R40" s="3">
        <v>0</v>
      </c>
      <c r="S40" s="3">
        <v>9.5872376945505097E-4</v>
      </c>
      <c r="T40" s="3">
        <v>1</v>
      </c>
      <c r="U40" s="3">
        <v>-2883408.3150706599</v>
      </c>
      <c r="V40" s="3">
        <v>-2</v>
      </c>
      <c r="W40" s="3">
        <v>-39.692352399560001</v>
      </c>
      <c r="X40" s="3">
        <v>-0.5</v>
      </c>
      <c r="Y40" s="3">
        <v>0</v>
      </c>
      <c r="Z40" s="3">
        <v>0</v>
      </c>
      <c r="AA40" s="3">
        <v>0</v>
      </c>
      <c r="AB40" s="3">
        <v>0</v>
      </c>
      <c r="AC40" s="3">
        <v>0</v>
      </c>
      <c r="AD40" s="3">
        <v>0</v>
      </c>
      <c r="AE40" s="3">
        <v>0</v>
      </c>
      <c r="AF40" s="3">
        <v>0</v>
      </c>
    </row>
    <row r="41" spans="8:32" x14ac:dyDescent="0.35">
      <c r="H41" s="3" t="str">
        <v>C</v>
      </c>
      <c r="I41" s="3" t="str">
        <v>Carbon</v>
      </c>
      <c r="J41" s="3" t="str">
        <v>diamond</v>
      </c>
      <c r="K41" s="3">
        <v>1895</v>
      </c>
      <c r="L41" s="3">
        <v>2.36</v>
      </c>
      <c r="M41" s="3" t="str">
        <v/>
      </c>
      <c r="N41" s="3" t="str">
        <v/>
      </c>
      <c r="O41" s="3">
        <v>298.14999999999998</v>
      </c>
      <c r="P41" s="3">
        <v>3000</v>
      </c>
      <c r="Q41" s="3">
        <v>28.007999999999999</v>
      </c>
      <c r="R41" s="3">
        <v>0</v>
      </c>
      <c r="S41" s="3">
        <v>4.2759999999999999E-4</v>
      </c>
      <c r="T41" s="3">
        <v>1</v>
      </c>
      <c r="U41" s="3">
        <v>311180</v>
      </c>
      <c r="V41" s="3">
        <v>-2</v>
      </c>
      <c r="W41" s="3">
        <v>-7729.5</v>
      </c>
      <c r="X41" s="3">
        <v>-1</v>
      </c>
      <c r="Y41" s="3">
        <v>0</v>
      </c>
      <c r="Z41" s="3">
        <v>0</v>
      </c>
      <c r="AA41" s="3">
        <v>0</v>
      </c>
      <c r="AB41" s="3">
        <v>0</v>
      </c>
      <c r="AC41" s="3">
        <v>0</v>
      </c>
      <c r="AD41" s="3">
        <v>0</v>
      </c>
      <c r="AE41" s="3">
        <v>0</v>
      </c>
      <c r="AF41" s="3">
        <v>0</v>
      </c>
    </row>
    <row r="42" spans="8:32" x14ac:dyDescent="0.35">
      <c r="H42" s="3" t="str">
        <v>C</v>
      </c>
      <c r="I42" s="3" t="str">
        <v>Carbon</v>
      </c>
      <c r="J42" s="3" t="str">
        <v>Gas</v>
      </c>
      <c r="K42" s="3">
        <v>716670</v>
      </c>
      <c r="L42" s="3">
        <v>158.1</v>
      </c>
      <c r="M42" s="3" t="str">
        <v/>
      </c>
      <c r="N42" s="3" t="str">
        <v/>
      </c>
      <c r="O42" s="3">
        <v>298.14999999999998</v>
      </c>
      <c r="P42" s="3">
        <v>2600</v>
      </c>
      <c r="Q42" s="3">
        <v>21.741391475525099</v>
      </c>
      <c r="R42" s="3">
        <v>0</v>
      </c>
      <c r="S42" s="3">
        <v>-9.4693988099823199E-4</v>
      </c>
      <c r="T42" s="3">
        <v>1</v>
      </c>
      <c r="U42" s="3">
        <v>57711.158791100199</v>
      </c>
      <c r="V42" s="3">
        <v>-2</v>
      </c>
      <c r="W42" s="3">
        <v>3.2167080260649702E-7</v>
      </c>
      <c r="X42" s="3">
        <v>2</v>
      </c>
      <c r="Y42" s="3">
        <v>-386.20249744828197</v>
      </c>
      <c r="Z42" s="3">
        <v>-1</v>
      </c>
      <c r="AA42" s="3">
        <v>0</v>
      </c>
      <c r="AB42" s="3">
        <v>0</v>
      </c>
      <c r="AC42" s="3">
        <v>0</v>
      </c>
      <c r="AD42" s="3">
        <v>0</v>
      </c>
      <c r="AE42" s="3">
        <v>0</v>
      </c>
      <c r="AF42" s="3">
        <v>0</v>
      </c>
    </row>
    <row r="43" spans="8:32" x14ac:dyDescent="0.35">
      <c r="H43" s="3" t="str">
        <v>C</v>
      </c>
      <c r="I43" s="3" t="str">
        <v>Carbon</v>
      </c>
      <c r="J43" s="3" t="str">
        <v>Gas</v>
      </c>
      <c r="K43" s="3">
        <v>716670</v>
      </c>
      <c r="L43" s="3">
        <v>158.1</v>
      </c>
      <c r="M43" s="3" t="str">
        <v/>
      </c>
      <c r="N43" s="3" t="str">
        <v/>
      </c>
      <c r="O43" s="3">
        <v>2600</v>
      </c>
      <c r="P43" s="3">
        <v>6000</v>
      </c>
      <c r="Q43" s="3">
        <v>15.6089029364183</v>
      </c>
      <c r="R43" s="3">
        <v>0</v>
      </c>
      <c r="S43" s="3">
        <v>58785026.551134698</v>
      </c>
      <c r="T43" s="3">
        <v>-2</v>
      </c>
      <c r="U43" s="3">
        <v>1640.6586113677599</v>
      </c>
      <c r="V43" s="3">
        <v>-0.5</v>
      </c>
      <c r="W43" s="3">
        <v>-91434.291606844796</v>
      </c>
      <c r="X43" s="3">
        <v>-1</v>
      </c>
      <c r="Y43" s="3">
        <v>0</v>
      </c>
      <c r="Z43" s="3">
        <v>0</v>
      </c>
      <c r="AA43" s="3">
        <v>0</v>
      </c>
      <c r="AB43" s="3">
        <v>0</v>
      </c>
      <c r="AC43" s="3">
        <v>0</v>
      </c>
      <c r="AD43" s="3">
        <v>0</v>
      </c>
      <c r="AE43" s="3">
        <v>0</v>
      </c>
      <c r="AF43" s="3">
        <v>0</v>
      </c>
    </row>
    <row r="44" spans="8:32" x14ac:dyDescent="0.35">
      <c r="H44" s="3" t="str">
        <v>N2</v>
      </c>
      <c r="I44" s="3" t="str">
        <v>Nitrogen</v>
      </c>
      <c r="J44" s="3" t="str">
        <v>Gas-1</v>
      </c>
      <c r="K44" s="3">
        <v>0</v>
      </c>
      <c r="L44" s="3">
        <v>191.60900000000001</v>
      </c>
      <c r="M44" s="3" t="str">
        <v/>
      </c>
      <c r="N44" s="3" t="str">
        <v/>
      </c>
      <c r="O44" s="3">
        <v>298.14999999999998</v>
      </c>
      <c r="P44" s="3">
        <v>1600</v>
      </c>
      <c r="Q44" s="3">
        <v>17.0812209144263</v>
      </c>
      <c r="R44" s="3">
        <v>0</v>
      </c>
      <c r="S44" s="3">
        <v>1.7389789146094101E-2</v>
      </c>
      <c r="T44" s="3">
        <v>1</v>
      </c>
      <c r="U44" s="3">
        <v>-230154.96552666699</v>
      </c>
      <c r="V44" s="3">
        <v>-2</v>
      </c>
      <c r="W44" s="3">
        <v>-4.5177922423384199E-6</v>
      </c>
      <c r="X44" s="3">
        <v>2</v>
      </c>
      <c r="Y44" s="3">
        <v>2939.8051152553599</v>
      </c>
      <c r="Z44" s="3">
        <v>-1</v>
      </c>
      <c r="AA44" s="3">
        <v>0</v>
      </c>
      <c r="AB44" s="3">
        <v>0</v>
      </c>
      <c r="AC44" s="3">
        <v>0</v>
      </c>
      <c r="AD44" s="3">
        <v>0</v>
      </c>
      <c r="AE44" s="3">
        <v>0</v>
      </c>
      <c r="AF44" s="3">
        <v>0</v>
      </c>
    </row>
    <row r="45" spans="8:32" x14ac:dyDescent="0.35">
      <c r="H45" s="3" t="str">
        <v>N2</v>
      </c>
      <c r="I45" s="3" t="str">
        <v>Nitrogen</v>
      </c>
      <c r="J45" s="3" t="str">
        <v>Gas-1</v>
      </c>
      <c r="K45" s="3">
        <v>0</v>
      </c>
      <c r="L45" s="3">
        <v>191.60900000000001</v>
      </c>
      <c r="M45" s="3" t="str">
        <v/>
      </c>
      <c r="N45" s="3" t="str">
        <v/>
      </c>
      <c r="O45" s="3">
        <v>1600</v>
      </c>
      <c r="P45" s="3">
        <v>6000</v>
      </c>
      <c r="Q45" s="3">
        <v>43.9005433524312</v>
      </c>
      <c r="R45" s="3">
        <v>0</v>
      </c>
      <c r="S45" s="3">
        <v>-11744861.273607399</v>
      </c>
      <c r="T45" s="3">
        <v>-2</v>
      </c>
      <c r="U45" s="3">
        <v>20259.104243563699</v>
      </c>
      <c r="V45" s="3">
        <v>-1</v>
      </c>
      <c r="W45" s="3">
        <v>-675.513509929576</v>
      </c>
      <c r="X45" s="3">
        <v>-0.5</v>
      </c>
      <c r="Y45" s="3">
        <v>0</v>
      </c>
      <c r="Z45" s="3">
        <v>0</v>
      </c>
      <c r="AA45" s="3">
        <v>0</v>
      </c>
      <c r="AB45" s="3">
        <v>0</v>
      </c>
      <c r="AC45" s="3">
        <v>0</v>
      </c>
      <c r="AD45" s="3">
        <v>0</v>
      </c>
      <c r="AE45" s="3">
        <v>0</v>
      </c>
      <c r="AF45" s="3">
        <v>0</v>
      </c>
    </row>
    <row r="46" spans="8:32" x14ac:dyDescent="0.35">
      <c r="H46" s="3" t="str">
        <v>N2</v>
      </c>
      <c r="I46" s="3" t="str">
        <v>Nitrogen</v>
      </c>
      <c r="J46" s="3" t="str">
        <v>Aqueous</v>
      </c>
      <c r="K46" s="3">
        <v>-10460</v>
      </c>
      <c r="L46" s="3">
        <v>94.977000000000004</v>
      </c>
      <c r="M46" s="3" t="str">
        <v/>
      </c>
      <c r="N46" s="3" t="str">
        <v/>
      </c>
      <c r="O46" s="3">
        <v>298</v>
      </c>
      <c r="P46" s="3">
        <v>523</v>
      </c>
      <c r="Q46" s="3">
        <v>-742.572</v>
      </c>
      <c r="R46" s="3">
        <v>0</v>
      </c>
      <c r="S46" s="3">
        <v>1.5176289999999999</v>
      </c>
      <c r="T46" s="3">
        <v>1</v>
      </c>
      <c r="U46" s="3">
        <v>48791700</v>
      </c>
      <c r="V46" s="3">
        <v>-2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v>0</v>
      </c>
      <c r="AC46" s="3">
        <v>0</v>
      </c>
      <c r="AD46" s="3">
        <v>0</v>
      </c>
      <c r="AE46" s="3">
        <v>0</v>
      </c>
      <c r="AF46" s="3">
        <v>0</v>
      </c>
    </row>
    <row r="47" spans="8:32" x14ac:dyDescent="0.35">
      <c r="H47" s="3" t="str">
        <v>O2</v>
      </c>
      <c r="I47" s="3" t="str">
        <v>Oxygen</v>
      </c>
      <c r="J47" s="3" t="str">
        <v>Gas</v>
      </c>
      <c r="K47" s="3">
        <v>0</v>
      </c>
      <c r="L47" s="3">
        <v>205.14699999999999</v>
      </c>
      <c r="M47" s="3" t="str">
        <v/>
      </c>
      <c r="N47" s="3" t="str">
        <v/>
      </c>
      <c r="O47" s="3">
        <v>298.14999999999998</v>
      </c>
      <c r="P47" s="3">
        <v>1000</v>
      </c>
      <c r="Q47" s="3">
        <v>26.9240574233967</v>
      </c>
      <c r="R47" s="3">
        <v>0</v>
      </c>
      <c r="S47" s="3">
        <v>1.69786815327337E-2</v>
      </c>
      <c r="T47" s="3">
        <v>1</v>
      </c>
      <c r="U47" s="3">
        <v>229329.25539582301</v>
      </c>
      <c r="V47" s="3">
        <v>-2</v>
      </c>
      <c r="W47" s="3">
        <v>-6.76616525224735E-6</v>
      </c>
      <c r="X47" s="3">
        <v>2</v>
      </c>
      <c r="Y47" s="3">
        <v>-79.161658583365806</v>
      </c>
      <c r="Z47" s="3">
        <v>-0.5</v>
      </c>
      <c r="AA47" s="3">
        <v>0</v>
      </c>
      <c r="AB47" s="3">
        <v>0</v>
      </c>
      <c r="AC47" s="3">
        <v>0</v>
      </c>
      <c r="AD47" s="3">
        <v>0</v>
      </c>
      <c r="AE47" s="3">
        <v>0</v>
      </c>
      <c r="AF47" s="3">
        <v>0</v>
      </c>
    </row>
    <row r="48" spans="8:32" x14ac:dyDescent="0.35">
      <c r="H48" s="3" t="str">
        <v>O2</v>
      </c>
      <c r="I48" s="3" t="str">
        <v>Oxygen</v>
      </c>
      <c r="J48" s="3" t="str">
        <v>Gas</v>
      </c>
      <c r="K48" s="3">
        <v>0</v>
      </c>
      <c r="L48" s="3">
        <v>205.14699999999999</v>
      </c>
      <c r="M48" s="3" t="str">
        <v/>
      </c>
      <c r="N48" s="3" t="str">
        <v/>
      </c>
      <c r="O48" s="3">
        <v>1000</v>
      </c>
      <c r="P48" s="3">
        <v>4000</v>
      </c>
      <c r="Q48" s="3">
        <v>89.681327075716695</v>
      </c>
      <c r="R48" s="3">
        <v>0</v>
      </c>
      <c r="S48" s="3">
        <v>-1.4474448840951901E-3</v>
      </c>
      <c r="T48" s="3">
        <v>1</v>
      </c>
      <c r="U48" s="3">
        <v>-18682685.9196105</v>
      </c>
      <c r="V48" s="3">
        <v>-2</v>
      </c>
      <c r="W48" s="3">
        <v>-4126.5372080504503</v>
      </c>
      <c r="X48" s="3">
        <v>-0.5</v>
      </c>
      <c r="Y48" s="3">
        <v>95803.959511182795</v>
      </c>
      <c r="Z48" s="3">
        <v>-1</v>
      </c>
      <c r="AA48" s="3">
        <v>0</v>
      </c>
      <c r="AB48" s="3">
        <v>0</v>
      </c>
      <c r="AC48" s="3">
        <v>0</v>
      </c>
      <c r="AD48" s="3">
        <v>0</v>
      </c>
      <c r="AE48" s="3">
        <v>0</v>
      </c>
      <c r="AF48" s="3">
        <v>0</v>
      </c>
    </row>
    <row r="49" spans="8:32" x14ac:dyDescent="0.35">
      <c r="H49" s="3" t="str">
        <v>O2</v>
      </c>
      <c r="I49" s="3" t="str">
        <v>Oxygen</v>
      </c>
      <c r="J49" s="3" t="str">
        <v>Gas</v>
      </c>
      <c r="K49" s="3">
        <v>0</v>
      </c>
      <c r="L49" s="3">
        <v>205.14699999999999</v>
      </c>
      <c r="M49" s="3" t="str">
        <v/>
      </c>
      <c r="N49" s="3" t="str">
        <v/>
      </c>
      <c r="O49" s="3">
        <v>4000</v>
      </c>
      <c r="P49" s="3">
        <v>6000</v>
      </c>
      <c r="Q49" s="3">
        <v>249.173116795103</v>
      </c>
      <c r="R49" s="3">
        <v>0</v>
      </c>
      <c r="S49" s="3">
        <v>-1184978422.22628</v>
      </c>
      <c r="T49" s="3">
        <v>-2</v>
      </c>
      <c r="U49" s="3">
        <v>-34935.669636004102</v>
      </c>
      <c r="V49" s="3">
        <v>-0.5</v>
      </c>
      <c r="W49" s="3">
        <v>1674792.24068652</v>
      </c>
      <c r="X49" s="3">
        <v>-1</v>
      </c>
      <c r="Y49" s="3">
        <v>0</v>
      </c>
      <c r="Z49" s="3">
        <v>0</v>
      </c>
      <c r="AA49" s="3">
        <v>0</v>
      </c>
      <c r="AB49" s="3">
        <v>0</v>
      </c>
      <c r="AC49" s="3">
        <v>0</v>
      </c>
      <c r="AD49" s="3">
        <v>0</v>
      </c>
      <c r="AE49" s="3">
        <v>0</v>
      </c>
      <c r="AF49" s="3">
        <v>0</v>
      </c>
    </row>
    <row r="50" spans="8:32" x14ac:dyDescent="0.35">
      <c r="H50" s="3" t="str">
        <v>O2</v>
      </c>
      <c r="I50" s="3" t="str">
        <v>Oxygen</v>
      </c>
      <c r="J50" s="3" t="str">
        <v>Aqueous</v>
      </c>
      <c r="K50" s="3">
        <v>-11715</v>
      </c>
      <c r="L50" s="3">
        <v>110.876</v>
      </c>
      <c r="M50" s="3" t="str">
        <v/>
      </c>
      <c r="N50" s="3" t="str">
        <v/>
      </c>
      <c r="O50" s="3">
        <v>298.14999999999998</v>
      </c>
      <c r="P50" s="3">
        <v>400</v>
      </c>
      <c r="Q50" s="3">
        <v>162.22999999999999</v>
      </c>
      <c r="R50" s="3">
        <v>0</v>
      </c>
      <c r="S50" s="3">
        <v>3.2125000000000001E-2</v>
      </c>
      <c r="T50" s="3">
        <v>1</v>
      </c>
      <c r="U50" s="3">
        <v>3161400</v>
      </c>
      <c r="V50" s="3">
        <v>-2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v>0</v>
      </c>
      <c r="AC50" s="3">
        <v>0</v>
      </c>
      <c r="AD50" s="3">
        <v>0</v>
      </c>
      <c r="AE50" s="3">
        <v>0</v>
      </c>
      <c r="AF50" s="3">
        <v>0</v>
      </c>
    </row>
    <row r="51" spans="8:32" x14ac:dyDescent="0.35">
      <c r="H51" s="3" t="str">
        <v>F2</v>
      </c>
      <c r="I51" s="3" t="str">
        <v>Fluorine</v>
      </c>
      <c r="J51" s="3" t="str">
        <v>Gas-1</v>
      </c>
      <c r="K51" s="3">
        <v>0</v>
      </c>
      <c r="L51" s="3">
        <v>202.78899999999999</v>
      </c>
      <c r="M51" s="3" t="str">
        <v/>
      </c>
      <c r="N51" s="3" t="str">
        <v/>
      </c>
      <c r="O51" s="3">
        <v>298.14999999999998</v>
      </c>
      <c r="P51" s="3">
        <v>1600</v>
      </c>
      <c r="Q51" s="3">
        <v>56.401419340329099</v>
      </c>
      <c r="R51" s="3">
        <v>0</v>
      </c>
      <c r="S51" s="3">
        <v>-7.4232963974254704E-3</v>
      </c>
      <c r="T51" s="3">
        <v>1</v>
      </c>
      <c r="U51" s="3">
        <v>238183.010677407</v>
      </c>
      <c r="V51" s="3">
        <v>-2</v>
      </c>
      <c r="W51" s="3">
        <v>1.9086937812339499E-6</v>
      </c>
      <c r="X51" s="3">
        <v>2</v>
      </c>
      <c r="Y51" s="3">
        <v>-444.46901705358101</v>
      </c>
      <c r="Z51" s="3">
        <v>-0.5</v>
      </c>
      <c r="AA51" s="3">
        <v>0</v>
      </c>
      <c r="AB51" s="3">
        <v>0</v>
      </c>
      <c r="AC51" s="3">
        <v>0</v>
      </c>
      <c r="AD51" s="3">
        <v>0</v>
      </c>
      <c r="AE51" s="3">
        <v>0</v>
      </c>
      <c r="AF51" s="3">
        <v>0</v>
      </c>
    </row>
    <row r="52" spans="8:32" x14ac:dyDescent="0.35">
      <c r="H52" s="3" t="str">
        <v>F2</v>
      </c>
      <c r="I52" s="3" t="str">
        <v>Fluorine</v>
      </c>
      <c r="J52" s="3" t="str">
        <v>Gas-1</v>
      </c>
      <c r="K52" s="3">
        <v>0</v>
      </c>
      <c r="L52" s="3">
        <v>202.78899999999999</v>
      </c>
      <c r="M52" s="3" t="str">
        <v/>
      </c>
      <c r="N52" s="3" t="str">
        <v/>
      </c>
      <c r="O52" s="3">
        <v>1600</v>
      </c>
      <c r="P52" s="3">
        <v>4000</v>
      </c>
      <c r="Q52" s="3">
        <v>-142.79475151125499</v>
      </c>
      <c r="R52" s="3">
        <v>0</v>
      </c>
      <c r="S52" s="3">
        <v>2.86502533760334E-3</v>
      </c>
      <c r="T52" s="3">
        <v>1</v>
      </c>
      <c r="U52" s="3">
        <v>164123250.306559</v>
      </c>
      <c r="V52" s="3">
        <v>-2</v>
      </c>
      <c r="W52" s="3">
        <v>-580689.04822714103</v>
      </c>
      <c r="X52" s="3">
        <v>-1</v>
      </c>
      <c r="Y52" s="3">
        <v>19016.8974983466</v>
      </c>
      <c r="Z52" s="3">
        <v>-0.5</v>
      </c>
      <c r="AA52" s="3">
        <v>0</v>
      </c>
      <c r="AB52" s="3">
        <v>0</v>
      </c>
      <c r="AC52" s="3">
        <v>0</v>
      </c>
      <c r="AD52" s="3">
        <v>0</v>
      </c>
      <c r="AE52" s="3">
        <v>0</v>
      </c>
      <c r="AF52" s="3">
        <v>0</v>
      </c>
    </row>
    <row r="53" spans="8:32" x14ac:dyDescent="0.35">
      <c r="H53" s="3" t="str">
        <v>F2</v>
      </c>
      <c r="I53" s="3" t="str">
        <v>Fluorine</v>
      </c>
      <c r="J53" s="3" t="str">
        <v>Gas-1</v>
      </c>
      <c r="K53" s="3">
        <v>0</v>
      </c>
      <c r="L53" s="3">
        <v>202.78899999999999</v>
      </c>
      <c r="M53" s="3" t="str">
        <v/>
      </c>
      <c r="N53" s="3" t="str">
        <v/>
      </c>
      <c r="O53" s="3">
        <v>4000</v>
      </c>
      <c r="P53" s="3">
        <v>6000</v>
      </c>
      <c r="Q53" s="3">
        <v>59.821707243274503</v>
      </c>
      <c r="R53" s="3">
        <v>0</v>
      </c>
      <c r="S53" s="3">
        <v>-499165516.85478902</v>
      </c>
      <c r="T53" s="3">
        <v>-2</v>
      </c>
      <c r="U53" s="3">
        <v>581650.70655293704</v>
      </c>
      <c r="V53" s="3">
        <v>-1</v>
      </c>
      <c r="W53" s="3">
        <v>-8829.2182110567701</v>
      </c>
      <c r="X53" s="3">
        <v>-0.5</v>
      </c>
      <c r="Y53" s="3">
        <v>0</v>
      </c>
      <c r="Z53" s="3">
        <v>0</v>
      </c>
      <c r="AA53" s="3">
        <v>0</v>
      </c>
      <c r="AB53" s="3">
        <v>0</v>
      </c>
      <c r="AC53" s="3">
        <v>0</v>
      </c>
      <c r="AD53" s="3">
        <v>0</v>
      </c>
      <c r="AE53" s="3">
        <v>0</v>
      </c>
      <c r="AF53" s="3">
        <v>0</v>
      </c>
    </row>
    <row r="54" spans="8:32" x14ac:dyDescent="0.35">
      <c r="H54" s="3" t="str">
        <v>Ne</v>
      </c>
      <c r="I54" s="3" t="str">
        <v>Neon</v>
      </c>
      <c r="J54" s="3" t="str">
        <v>Gas-1</v>
      </c>
      <c r="K54" s="3">
        <v>0</v>
      </c>
      <c r="L54" s="3">
        <v>146.327</v>
      </c>
      <c r="M54" s="3" t="str">
        <v/>
      </c>
      <c r="N54" s="3" t="str">
        <v/>
      </c>
      <c r="O54" s="3">
        <v>298.14999999999998</v>
      </c>
      <c r="P54" s="3">
        <v>6000</v>
      </c>
      <c r="Q54" s="3">
        <v>20.786000000000001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3">
        <v>0</v>
      </c>
      <c r="X54" s="3">
        <v>0</v>
      </c>
      <c r="Y54" s="3">
        <v>0</v>
      </c>
      <c r="Z54" s="3">
        <v>0</v>
      </c>
      <c r="AA54" s="3">
        <v>0</v>
      </c>
      <c r="AB54" s="3">
        <v>0</v>
      </c>
      <c r="AC54" s="3">
        <v>0</v>
      </c>
      <c r="AD54" s="3">
        <v>0</v>
      </c>
      <c r="AE54" s="3">
        <v>0</v>
      </c>
      <c r="AF54" s="3">
        <v>0</v>
      </c>
    </row>
    <row r="55" spans="8:32" x14ac:dyDescent="0.35">
      <c r="H55" s="3" t="str">
        <v>Ne</v>
      </c>
      <c r="I55" s="3" t="str">
        <v>Neon</v>
      </c>
      <c r="J55" s="3" t="str">
        <v>Aqueous</v>
      </c>
      <c r="K55" s="3">
        <v>-4602</v>
      </c>
      <c r="L55" s="3">
        <v>66.106999999999999</v>
      </c>
      <c r="M55" s="3" t="str">
        <v/>
      </c>
      <c r="N55" s="3" t="str">
        <v/>
      </c>
      <c r="O55" s="3">
        <v>298.14999999999998</v>
      </c>
      <c r="P55" s="3">
        <v>298.14999999999998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3">
        <v>0</v>
      </c>
      <c r="X55" s="3">
        <v>0</v>
      </c>
      <c r="Y55" s="3">
        <v>0</v>
      </c>
      <c r="Z55" s="3">
        <v>0</v>
      </c>
      <c r="AA55" s="3">
        <v>0</v>
      </c>
      <c r="AB55" s="3">
        <v>0</v>
      </c>
      <c r="AC55" s="3">
        <v>0</v>
      </c>
      <c r="AD55" s="3">
        <v>0</v>
      </c>
      <c r="AE55" s="3">
        <v>0</v>
      </c>
      <c r="AF55" s="3">
        <v>0</v>
      </c>
    </row>
    <row r="56" spans="8:32" x14ac:dyDescent="0.35">
      <c r="H56" s="3" t="str">
        <v>Na</v>
      </c>
      <c r="I56" s="3" t="str">
        <v>Sodium</v>
      </c>
      <c r="J56" s="3" t="str">
        <v>Solid-1</v>
      </c>
      <c r="K56" s="3">
        <v>0</v>
      </c>
      <c r="L56" s="3">
        <v>51.454999999999998</v>
      </c>
      <c r="M56" s="3" t="str">
        <v/>
      </c>
      <c r="N56" s="3" t="str">
        <v/>
      </c>
      <c r="O56" s="3">
        <v>298.14999999999998</v>
      </c>
      <c r="P56" s="3">
        <v>370.98</v>
      </c>
      <c r="Q56" s="3">
        <v>-83.612083103355104</v>
      </c>
      <c r="R56" s="3">
        <v>0</v>
      </c>
      <c r="S56" s="3">
        <v>0.19304685355607801</v>
      </c>
      <c r="T56" s="3">
        <v>1</v>
      </c>
      <c r="U56" s="3">
        <v>16166.383623945499</v>
      </c>
      <c r="V56" s="3">
        <v>-1</v>
      </c>
      <c r="W56" s="3">
        <v>0</v>
      </c>
      <c r="X56" s="3">
        <v>0</v>
      </c>
      <c r="Y56" s="3">
        <v>0</v>
      </c>
      <c r="Z56" s="3">
        <v>0</v>
      </c>
      <c r="AA56" s="3">
        <v>0</v>
      </c>
      <c r="AB56" s="3">
        <v>0</v>
      </c>
      <c r="AC56" s="3">
        <v>0</v>
      </c>
      <c r="AD56" s="3">
        <v>0</v>
      </c>
      <c r="AE56" s="3">
        <v>0</v>
      </c>
      <c r="AF56" s="3">
        <v>0</v>
      </c>
    </row>
    <row r="57" spans="8:32" x14ac:dyDescent="0.35">
      <c r="H57" s="3" t="str">
        <v>Na</v>
      </c>
      <c r="I57" s="3" t="str">
        <v>Sodium</v>
      </c>
      <c r="J57" s="3" t="str">
        <v>Solid-1</v>
      </c>
      <c r="K57" s="3">
        <v>0</v>
      </c>
      <c r="L57" s="3">
        <v>51.454999999999998</v>
      </c>
      <c r="M57" s="3" t="str">
        <v/>
      </c>
      <c r="N57" s="3" t="str">
        <v/>
      </c>
      <c r="O57" s="3">
        <v>370.98</v>
      </c>
      <c r="P57" s="3">
        <v>1000</v>
      </c>
      <c r="Q57" s="3">
        <v>233.40571545513299</v>
      </c>
      <c r="R57" s="3">
        <v>0</v>
      </c>
      <c r="S57" s="3">
        <v>-2.9873320270509301E-2</v>
      </c>
      <c r="T57" s="3">
        <v>1</v>
      </c>
      <c r="U57" s="3">
        <v>-11613021.467</v>
      </c>
      <c r="V57" s="3">
        <v>-2</v>
      </c>
      <c r="W57" s="3">
        <v>145943.72555562499</v>
      </c>
      <c r="X57" s="3">
        <v>-1</v>
      </c>
      <c r="Y57" s="3">
        <v>-9625.8166539259892</v>
      </c>
      <c r="Z57" s="3">
        <v>-0.5</v>
      </c>
      <c r="AA57" s="3">
        <v>0</v>
      </c>
      <c r="AB57" s="3">
        <v>0</v>
      </c>
      <c r="AC57" s="3">
        <v>0</v>
      </c>
      <c r="AD57" s="3">
        <v>0</v>
      </c>
      <c r="AE57" s="3">
        <v>0</v>
      </c>
      <c r="AF57" s="3">
        <v>0</v>
      </c>
    </row>
    <row r="58" spans="8:32" x14ac:dyDescent="0.35">
      <c r="H58" s="3" t="str">
        <v>Na</v>
      </c>
      <c r="I58" s="3" t="str">
        <v>Sodium</v>
      </c>
      <c r="J58" s="3" t="str">
        <v>Solid-1</v>
      </c>
      <c r="K58" s="3">
        <v>0</v>
      </c>
      <c r="L58" s="3">
        <v>51.454999999999998</v>
      </c>
      <c r="M58" s="3" t="str">
        <v/>
      </c>
      <c r="N58" s="3" t="str">
        <v/>
      </c>
      <c r="O58" s="3">
        <v>1000</v>
      </c>
      <c r="P58" s="3">
        <v>1001</v>
      </c>
      <c r="Q58" s="3">
        <v>21</v>
      </c>
      <c r="R58" s="3">
        <v>0</v>
      </c>
      <c r="S58" s="3">
        <v>0</v>
      </c>
      <c r="T58" s="3">
        <v>0</v>
      </c>
      <c r="U58" s="3">
        <v>0</v>
      </c>
      <c r="V58" s="3">
        <v>0</v>
      </c>
      <c r="W58" s="3">
        <v>0</v>
      </c>
      <c r="X58" s="3">
        <v>0</v>
      </c>
      <c r="Y58" s="3">
        <v>0</v>
      </c>
      <c r="Z58" s="3">
        <v>0</v>
      </c>
      <c r="AA58" s="3">
        <v>0</v>
      </c>
      <c r="AB58" s="3">
        <v>0</v>
      </c>
      <c r="AC58" s="3">
        <v>0</v>
      </c>
      <c r="AD58" s="3">
        <v>0</v>
      </c>
      <c r="AE58" s="3">
        <v>0</v>
      </c>
      <c r="AF58" s="3">
        <v>0</v>
      </c>
    </row>
    <row r="59" spans="8:32" x14ac:dyDescent="0.35">
      <c r="H59" s="3" t="str">
        <v>Na</v>
      </c>
      <c r="I59" s="3" t="str">
        <v>Sodium</v>
      </c>
      <c r="J59" s="3" t="str">
        <v>Liquid-1</v>
      </c>
      <c r="K59" s="3" t="str">
        <v/>
      </c>
      <c r="L59" s="3" t="str">
        <v/>
      </c>
      <c r="M59" s="3">
        <v>2602</v>
      </c>
      <c r="N59" s="3">
        <v>370.98</v>
      </c>
      <c r="O59" s="3">
        <v>298.14999999999998</v>
      </c>
      <c r="P59" s="3">
        <v>1600</v>
      </c>
      <c r="Q59" s="3">
        <v>-3.8495329891105201</v>
      </c>
      <c r="R59" s="3">
        <v>0</v>
      </c>
      <c r="S59" s="3">
        <v>3.0133612197305901E-3</v>
      </c>
      <c r="T59" s="3">
        <v>1</v>
      </c>
      <c r="U59" s="3">
        <v>4.1187701520959803E-6</v>
      </c>
      <c r="V59" s="3">
        <v>2</v>
      </c>
      <c r="W59" s="3">
        <v>-7794.4359150323598</v>
      </c>
      <c r="X59" s="3">
        <v>-1</v>
      </c>
      <c r="Y59" s="3">
        <v>1060.2856258505999</v>
      </c>
      <c r="Z59" s="3">
        <v>-0.5</v>
      </c>
      <c r="AA59" s="3">
        <v>0</v>
      </c>
      <c r="AB59" s="3">
        <v>0</v>
      </c>
      <c r="AC59" s="3">
        <v>0</v>
      </c>
      <c r="AD59" s="3">
        <v>0</v>
      </c>
      <c r="AE59" s="3">
        <v>0</v>
      </c>
      <c r="AF59" s="3">
        <v>0</v>
      </c>
    </row>
    <row r="60" spans="8:32" x14ac:dyDescent="0.35">
      <c r="H60" s="3" t="str">
        <v>Na</v>
      </c>
      <c r="I60" s="3" t="str">
        <v>Sodium</v>
      </c>
      <c r="J60" s="3" t="str">
        <v>Liquid-1</v>
      </c>
      <c r="K60" s="3" t="str">
        <v/>
      </c>
      <c r="L60" s="3" t="str">
        <v/>
      </c>
      <c r="M60" s="3">
        <v>2602</v>
      </c>
      <c r="N60" s="3">
        <v>370.98</v>
      </c>
      <c r="O60" s="3">
        <v>1600</v>
      </c>
      <c r="P60" s="3">
        <v>1601</v>
      </c>
      <c r="Q60" s="3">
        <v>21</v>
      </c>
      <c r="R60" s="3">
        <v>0</v>
      </c>
      <c r="S60" s="3">
        <v>0</v>
      </c>
      <c r="T60" s="3">
        <v>0</v>
      </c>
      <c r="U60" s="3">
        <v>0</v>
      </c>
      <c r="V60" s="3">
        <v>0</v>
      </c>
      <c r="W60" s="3">
        <v>0</v>
      </c>
      <c r="X60" s="3">
        <v>0</v>
      </c>
      <c r="Y60" s="3">
        <v>0</v>
      </c>
      <c r="Z60" s="3">
        <v>0</v>
      </c>
      <c r="AA60" s="3">
        <v>0</v>
      </c>
      <c r="AB60" s="3">
        <v>0</v>
      </c>
      <c r="AC60" s="3">
        <v>0</v>
      </c>
      <c r="AD60" s="3">
        <v>0</v>
      </c>
      <c r="AE60" s="3">
        <v>0</v>
      </c>
      <c r="AF60" s="3">
        <v>0</v>
      </c>
    </row>
    <row r="61" spans="8:32" x14ac:dyDescent="0.35">
      <c r="H61" s="3" t="str">
        <v>Na</v>
      </c>
      <c r="I61" s="3" t="str">
        <v>Sodium</v>
      </c>
      <c r="J61" s="3" t="str">
        <v>Gas-1</v>
      </c>
      <c r="K61" s="3">
        <v>107300</v>
      </c>
      <c r="L61" s="3">
        <v>153.667</v>
      </c>
      <c r="M61" s="3" t="str">
        <v/>
      </c>
      <c r="N61" s="3" t="str">
        <v/>
      </c>
      <c r="O61" s="3">
        <v>298.14999999999998</v>
      </c>
      <c r="P61" s="3">
        <v>2000</v>
      </c>
      <c r="Q61" s="3">
        <v>20.7878636363636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  <c r="AC61" s="3">
        <v>0</v>
      </c>
      <c r="AD61" s="3">
        <v>0</v>
      </c>
      <c r="AE61" s="3">
        <v>0</v>
      </c>
      <c r="AF61" s="3">
        <v>0</v>
      </c>
    </row>
    <row r="62" spans="8:32" x14ac:dyDescent="0.35">
      <c r="H62" s="3" t="str">
        <v>Na</v>
      </c>
      <c r="I62" s="3" t="str">
        <v>Sodium</v>
      </c>
      <c r="J62" s="3" t="str">
        <v>Gas-1</v>
      </c>
      <c r="K62" s="3">
        <v>107300</v>
      </c>
      <c r="L62" s="3">
        <v>153.667</v>
      </c>
      <c r="M62" s="3" t="str">
        <v/>
      </c>
      <c r="N62" s="3" t="str">
        <v/>
      </c>
      <c r="O62" s="3">
        <v>2000</v>
      </c>
      <c r="P62" s="3">
        <v>4000</v>
      </c>
      <c r="Q62" s="3">
        <v>-320.90448990297199</v>
      </c>
      <c r="R62" s="3">
        <v>0</v>
      </c>
      <c r="S62" s="3">
        <v>1.82633491218488E-2</v>
      </c>
      <c r="T62" s="3">
        <v>1</v>
      </c>
      <c r="U62" s="3">
        <v>174135380.01491001</v>
      </c>
      <c r="V62" s="3">
        <v>-2</v>
      </c>
      <c r="W62" s="3">
        <v>-726550.40176077699</v>
      </c>
      <c r="X62" s="3">
        <v>-1</v>
      </c>
      <c r="Y62" s="3">
        <v>27946.691131949599</v>
      </c>
      <c r="Z62" s="3">
        <v>-0.5</v>
      </c>
      <c r="AA62" s="3">
        <v>0</v>
      </c>
      <c r="AB62" s="3">
        <v>0</v>
      </c>
      <c r="AC62" s="3">
        <v>0</v>
      </c>
      <c r="AD62" s="3">
        <v>0</v>
      </c>
      <c r="AE62" s="3">
        <v>0</v>
      </c>
      <c r="AF62" s="3">
        <v>0</v>
      </c>
    </row>
    <row r="63" spans="8:32" x14ac:dyDescent="0.35">
      <c r="H63" s="3" t="str">
        <v>Na</v>
      </c>
      <c r="I63" s="3" t="str">
        <v>Sodium</v>
      </c>
      <c r="J63" s="3" t="str">
        <v>Gas-1</v>
      </c>
      <c r="K63" s="3">
        <v>107300</v>
      </c>
      <c r="L63" s="3">
        <v>153.667</v>
      </c>
      <c r="M63" s="3" t="str">
        <v/>
      </c>
      <c r="N63" s="3" t="str">
        <v/>
      </c>
      <c r="O63" s="3">
        <v>4000</v>
      </c>
      <c r="P63" s="3">
        <v>6000</v>
      </c>
      <c r="Q63" s="3">
        <v>580.64366324884202</v>
      </c>
      <c r="R63" s="3">
        <v>0</v>
      </c>
      <c r="S63" s="3">
        <v>-2393169990.3966999</v>
      </c>
      <c r="T63" s="3">
        <v>-2</v>
      </c>
      <c r="U63" s="3">
        <v>3929424.2001789901</v>
      </c>
      <c r="V63" s="3">
        <v>-1</v>
      </c>
      <c r="W63" s="3">
        <v>-87921.174904904707</v>
      </c>
      <c r="X63" s="3">
        <v>-0.5</v>
      </c>
      <c r="Y63" s="3">
        <v>0</v>
      </c>
      <c r="Z63" s="3">
        <v>0</v>
      </c>
      <c r="AA63" s="3">
        <v>0</v>
      </c>
      <c r="AB63" s="3">
        <v>0</v>
      </c>
      <c r="AC63" s="3">
        <v>0</v>
      </c>
      <c r="AD63" s="3">
        <v>0</v>
      </c>
      <c r="AE63" s="3">
        <v>0</v>
      </c>
      <c r="AF63" s="3">
        <v>0</v>
      </c>
    </row>
    <row r="64" spans="8:32" x14ac:dyDescent="0.35">
      <c r="H64" s="3" t="str">
        <v>Mg</v>
      </c>
      <c r="I64" s="3" t="str">
        <v>Magnesium</v>
      </c>
      <c r="J64" s="3" t="str">
        <v>Solid-1</v>
      </c>
      <c r="K64" s="3">
        <v>0</v>
      </c>
      <c r="L64" s="3">
        <v>32.670999999999999</v>
      </c>
      <c r="M64" s="3" t="str">
        <v/>
      </c>
      <c r="N64" s="3" t="str">
        <v/>
      </c>
      <c r="O64" s="3">
        <v>298.14999999999998</v>
      </c>
      <c r="P64" s="3">
        <v>1200</v>
      </c>
      <c r="Q64" s="3">
        <v>31.029910064203001</v>
      </c>
      <c r="R64" s="3">
        <v>0</v>
      </c>
      <c r="S64" s="3">
        <v>-6.9321156108030002E-3</v>
      </c>
      <c r="T64" s="3">
        <v>1</v>
      </c>
      <c r="U64" s="3">
        <v>42029.016144663801</v>
      </c>
      <c r="V64" s="3">
        <v>-2</v>
      </c>
      <c r="W64" s="3">
        <v>1.0972882482923601E-5</v>
      </c>
      <c r="X64" s="3">
        <v>2</v>
      </c>
      <c r="Y64" s="3">
        <v>-1652.5062087454</v>
      </c>
      <c r="Z64" s="3">
        <v>-1</v>
      </c>
      <c r="AA64" s="3">
        <v>0</v>
      </c>
      <c r="AB64" s="3">
        <v>0</v>
      </c>
      <c r="AC64" s="3">
        <v>0</v>
      </c>
      <c r="AD64" s="3">
        <v>0</v>
      </c>
      <c r="AE64" s="3">
        <v>0</v>
      </c>
      <c r="AF64" s="3">
        <v>0</v>
      </c>
    </row>
    <row r="65" spans="8:32" x14ac:dyDescent="0.35">
      <c r="H65" s="3" t="str">
        <v>Mg</v>
      </c>
      <c r="I65" s="3" t="str">
        <v>Magnesium</v>
      </c>
      <c r="J65" s="3" t="str">
        <v>Solid-1</v>
      </c>
      <c r="K65" s="3">
        <v>0</v>
      </c>
      <c r="L65" s="3">
        <v>32.670999999999999</v>
      </c>
      <c r="M65" s="3" t="str">
        <v/>
      </c>
      <c r="N65" s="3" t="str">
        <v/>
      </c>
      <c r="O65" s="3">
        <v>1200</v>
      </c>
      <c r="P65" s="3">
        <v>1201</v>
      </c>
      <c r="Q65" s="3">
        <v>34.308999999999997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  <c r="AC65" s="3">
        <v>0</v>
      </c>
      <c r="AD65" s="3">
        <v>0</v>
      </c>
      <c r="AE65" s="3">
        <v>0</v>
      </c>
      <c r="AF65" s="3">
        <v>0</v>
      </c>
    </row>
    <row r="66" spans="8:32" x14ac:dyDescent="0.35">
      <c r="H66" s="3" t="str">
        <v>Mg</v>
      </c>
      <c r="I66" s="3" t="str">
        <v>Magnesium</v>
      </c>
      <c r="J66" s="3" t="str">
        <v>Liquid-1</v>
      </c>
      <c r="K66" s="3" t="str">
        <v/>
      </c>
      <c r="L66" s="3" t="str">
        <v/>
      </c>
      <c r="M66" s="3">
        <v>8477</v>
      </c>
      <c r="N66" s="3">
        <v>923</v>
      </c>
      <c r="O66" s="3">
        <v>298.14999999999998</v>
      </c>
      <c r="P66" s="3">
        <v>2000</v>
      </c>
      <c r="Q66" s="3">
        <v>34.308999999999997</v>
      </c>
      <c r="R66" s="3">
        <v>0</v>
      </c>
      <c r="S66" s="3">
        <v>0</v>
      </c>
      <c r="T66" s="3">
        <v>0</v>
      </c>
      <c r="U66" s="3">
        <v>0</v>
      </c>
      <c r="V66" s="3">
        <v>0</v>
      </c>
      <c r="W66" s="3">
        <v>0</v>
      </c>
      <c r="X66" s="3">
        <v>0</v>
      </c>
      <c r="Y66" s="3">
        <v>0</v>
      </c>
      <c r="Z66" s="3">
        <v>0</v>
      </c>
      <c r="AA66" s="3">
        <v>0</v>
      </c>
      <c r="AB66" s="3">
        <v>0</v>
      </c>
      <c r="AC66" s="3">
        <v>0</v>
      </c>
      <c r="AD66" s="3">
        <v>0</v>
      </c>
      <c r="AE66" s="3">
        <v>0</v>
      </c>
      <c r="AF66" s="3">
        <v>0</v>
      </c>
    </row>
    <row r="67" spans="8:32" x14ac:dyDescent="0.35">
      <c r="H67" s="3" t="str">
        <v>Mg</v>
      </c>
      <c r="I67" s="3" t="str">
        <v>Magnesium</v>
      </c>
      <c r="J67" s="3" t="str">
        <v>Gas-1</v>
      </c>
      <c r="K67" s="3">
        <v>147100</v>
      </c>
      <c r="L67" s="3">
        <v>148.648</v>
      </c>
      <c r="M67" s="3" t="str">
        <v/>
      </c>
      <c r="N67" s="3" t="str">
        <v/>
      </c>
      <c r="O67" s="3">
        <v>298.14999999999998</v>
      </c>
      <c r="P67" s="3">
        <v>2200</v>
      </c>
      <c r="Q67" s="3">
        <v>20.786791666666701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  <c r="AC67" s="3">
        <v>0</v>
      </c>
      <c r="AD67" s="3">
        <v>0</v>
      </c>
      <c r="AE67" s="3">
        <v>0</v>
      </c>
      <c r="AF67" s="3">
        <v>0</v>
      </c>
    </row>
    <row r="68" spans="8:32" x14ac:dyDescent="0.35">
      <c r="H68" s="3" t="str">
        <v>Mg</v>
      </c>
      <c r="I68" s="3" t="str">
        <v>Magnesium</v>
      </c>
      <c r="J68" s="3" t="str">
        <v>Gas-1</v>
      </c>
      <c r="K68" s="3">
        <v>147100</v>
      </c>
      <c r="L68" s="3">
        <v>148.648</v>
      </c>
      <c r="M68" s="3" t="str">
        <v/>
      </c>
      <c r="N68" s="3" t="str">
        <v/>
      </c>
      <c r="O68" s="3">
        <v>2200</v>
      </c>
      <c r="P68" s="3">
        <v>5000</v>
      </c>
      <c r="Q68" s="3">
        <v>-392.90224161886903</v>
      </c>
      <c r="R68" s="3">
        <v>0</v>
      </c>
      <c r="S68" s="3">
        <v>2.06844597845833E-2</v>
      </c>
      <c r="T68" s="3">
        <v>1</v>
      </c>
      <c r="U68" s="3">
        <v>230226891.052742</v>
      </c>
      <c r="V68" s="3">
        <v>-2</v>
      </c>
      <c r="W68" s="3">
        <v>-924952.20742113795</v>
      </c>
      <c r="X68" s="3">
        <v>-1</v>
      </c>
      <c r="Y68" s="3">
        <v>34758.255812085001</v>
      </c>
      <c r="Z68" s="3">
        <v>-0.5</v>
      </c>
      <c r="AA68" s="3">
        <v>0</v>
      </c>
      <c r="AB68" s="3">
        <v>0</v>
      </c>
      <c r="AC68" s="3">
        <v>0</v>
      </c>
      <c r="AD68" s="3">
        <v>0</v>
      </c>
      <c r="AE68" s="3">
        <v>0</v>
      </c>
      <c r="AF68" s="3">
        <v>0</v>
      </c>
    </row>
    <row r="69" spans="8:32" x14ac:dyDescent="0.35">
      <c r="H69" s="3" t="str">
        <v>Mg</v>
      </c>
      <c r="I69" s="3" t="str">
        <v>Magnesium</v>
      </c>
      <c r="J69" s="3" t="str">
        <v>Gas-1</v>
      </c>
      <c r="K69" s="3">
        <v>147100</v>
      </c>
      <c r="L69" s="3">
        <v>148.648</v>
      </c>
      <c r="M69" s="3" t="str">
        <v/>
      </c>
      <c r="N69" s="3" t="str">
        <v/>
      </c>
      <c r="O69" s="3">
        <v>5000</v>
      </c>
      <c r="P69" s="3">
        <v>6000</v>
      </c>
      <c r="Q69" s="3">
        <v>393.00749406130097</v>
      </c>
      <c r="R69" s="3">
        <v>0</v>
      </c>
      <c r="S69" s="3">
        <v>-1239364594.97946</v>
      </c>
      <c r="T69" s="3">
        <v>-2</v>
      </c>
      <c r="U69" s="3">
        <v>2341534.0894144499</v>
      </c>
      <c r="V69" s="3">
        <v>-1</v>
      </c>
      <c r="W69" s="3">
        <v>-55539.353450000999</v>
      </c>
      <c r="X69" s="3">
        <v>-0.5</v>
      </c>
      <c r="Y69" s="3">
        <v>0</v>
      </c>
      <c r="Z69" s="3">
        <v>0</v>
      </c>
      <c r="AA69" s="3">
        <v>0</v>
      </c>
      <c r="AB69" s="3">
        <v>0</v>
      </c>
      <c r="AC69" s="3">
        <v>0</v>
      </c>
      <c r="AD69" s="3">
        <v>0</v>
      </c>
      <c r="AE69" s="3">
        <v>0</v>
      </c>
      <c r="AF69" s="3">
        <v>0</v>
      </c>
    </row>
    <row r="70" spans="8:32" x14ac:dyDescent="0.35">
      <c r="H70" s="3" t="str">
        <v>Al</v>
      </c>
      <c r="I70" s="3" t="str">
        <v>Aluminum</v>
      </c>
      <c r="J70" s="3" t="str">
        <v>Solid-1</v>
      </c>
      <c r="K70" s="3">
        <v>0</v>
      </c>
      <c r="L70" s="3">
        <v>28.274999999999999</v>
      </c>
      <c r="M70" s="3" t="str">
        <v/>
      </c>
      <c r="N70" s="3" t="str">
        <v/>
      </c>
      <c r="O70" s="3">
        <v>298.14999999999998</v>
      </c>
      <c r="P70" s="3">
        <v>1200</v>
      </c>
      <c r="Q70" s="3">
        <v>45.924818017997403</v>
      </c>
      <c r="R70" s="3">
        <v>0</v>
      </c>
      <c r="S70" s="3">
        <v>1.5697287044389999E-5</v>
      </c>
      <c r="T70" s="3">
        <v>2</v>
      </c>
      <c r="U70" s="3">
        <v>-2850.4189384224501</v>
      </c>
      <c r="V70" s="3">
        <v>-1</v>
      </c>
      <c r="W70" s="3">
        <v>-0.77191757786652804</v>
      </c>
      <c r="X70" s="3">
        <v>0.5</v>
      </c>
      <c r="Y70" s="3">
        <v>-5945470.3491277099</v>
      </c>
      <c r="Z70" s="3">
        <v>-3</v>
      </c>
      <c r="AA70" s="3">
        <v>0</v>
      </c>
      <c r="AB70" s="3">
        <v>0</v>
      </c>
      <c r="AC70" s="3">
        <v>0</v>
      </c>
      <c r="AD70" s="3">
        <v>0</v>
      </c>
      <c r="AE70" s="3">
        <v>0</v>
      </c>
      <c r="AF70" s="3">
        <v>0</v>
      </c>
    </row>
    <row r="71" spans="8:32" x14ac:dyDescent="0.35">
      <c r="H71" s="3" t="str">
        <v>Al</v>
      </c>
      <c r="I71" s="3" t="str">
        <v>Aluminum</v>
      </c>
      <c r="J71" s="3" t="str">
        <v>Solid-1</v>
      </c>
      <c r="K71" s="3">
        <v>0</v>
      </c>
      <c r="L71" s="3">
        <v>28.274999999999999</v>
      </c>
      <c r="M71" s="3" t="str">
        <v/>
      </c>
      <c r="N71" s="3" t="str">
        <v/>
      </c>
      <c r="O71" s="3">
        <v>1200</v>
      </c>
      <c r="P71" s="3">
        <v>1201</v>
      </c>
      <c r="Q71" s="3">
        <v>31.751000000000001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  <c r="AC71" s="3">
        <v>0</v>
      </c>
      <c r="AD71" s="3">
        <v>0</v>
      </c>
      <c r="AE71" s="3">
        <v>0</v>
      </c>
      <c r="AF71" s="3">
        <v>0</v>
      </c>
    </row>
    <row r="72" spans="8:32" x14ac:dyDescent="0.35">
      <c r="H72" s="3" t="str">
        <v>Al</v>
      </c>
      <c r="I72" s="3" t="str">
        <v>Aluminum</v>
      </c>
      <c r="J72" s="3" t="str">
        <v>Liquid-1</v>
      </c>
      <c r="K72" s="3" t="str">
        <v/>
      </c>
      <c r="L72" s="3" t="str">
        <v/>
      </c>
      <c r="M72" s="3">
        <v>10711</v>
      </c>
      <c r="N72" s="3">
        <v>933.45</v>
      </c>
      <c r="O72" s="3">
        <v>298.14999999999998</v>
      </c>
      <c r="P72" s="3">
        <v>720</v>
      </c>
      <c r="Q72" s="3">
        <v>-117.830437211608</v>
      </c>
      <c r="R72" s="3">
        <v>0</v>
      </c>
      <c r="S72" s="3">
        <v>4.8983984259172303E-2</v>
      </c>
      <c r="T72" s="3">
        <v>1</v>
      </c>
      <c r="U72" s="3">
        <v>1905633.5762262801</v>
      </c>
      <c r="V72" s="3">
        <v>-2</v>
      </c>
      <c r="W72" s="3">
        <v>-52047.425867188103</v>
      </c>
      <c r="X72" s="3">
        <v>-1</v>
      </c>
      <c r="Y72" s="3">
        <v>4844.53523184802</v>
      </c>
      <c r="Z72" s="3">
        <v>-0.5</v>
      </c>
      <c r="AA72" s="3">
        <v>0</v>
      </c>
      <c r="AB72" s="3">
        <v>0</v>
      </c>
      <c r="AC72" s="3">
        <v>0</v>
      </c>
      <c r="AD72" s="3">
        <v>0</v>
      </c>
      <c r="AE72" s="3">
        <v>0</v>
      </c>
      <c r="AF72" s="3">
        <v>0</v>
      </c>
    </row>
    <row r="73" spans="8:32" x14ac:dyDescent="0.35">
      <c r="H73" s="3" t="str">
        <v>Al</v>
      </c>
      <c r="I73" s="3" t="str">
        <v>Aluminum</v>
      </c>
      <c r="J73" s="3" t="str">
        <v>Liquid-1</v>
      </c>
      <c r="K73" s="3" t="str">
        <v/>
      </c>
      <c r="L73" s="3" t="str">
        <v/>
      </c>
      <c r="M73" s="3">
        <v>10711</v>
      </c>
      <c r="N73" s="3">
        <v>933.45</v>
      </c>
      <c r="O73" s="3">
        <v>720</v>
      </c>
      <c r="P73" s="3">
        <v>3000</v>
      </c>
      <c r="Q73" s="3">
        <v>31.751000000000001</v>
      </c>
      <c r="R73" s="3">
        <v>0</v>
      </c>
      <c r="S73" s="3">
        <v>-8.7840767314493895E-12</v>
      </c>
      <c r="T73" s="3">
        <v>-2</v>
      </c>
      <c r="U73" s="3">
        <v>0</v>
      </c>
      <c r="V73" s="3">
        <v>0</v>
      </c>
      <c r="W73" s="3">
        <v>0</v>
      </c>
      <c r="X73" s="3">
        <v>0</v>
      </c>
      <c r="Y73" s="3">
        <v>0</v>
      </c>
      <c r="Z73" s="3">
        <v>0</v>
      </c>
      <c r="AA73" s="3">
        <v>0</v>
      </c>
      <c r="AB73" s="3">
        <v>0</v>
      </c>
      <c r="AC73" s="3">
        <v>0</v>
      </c>
      <c r="AD73" s="3">
        <v>0</v>
      </c>
      <c r="AE73" s="3">
        <v>0</v>
      </c>
      <c r="AF73" s="3">
        <v>0</v>
      </c>
    </row>
    <row r="74" spans="8:32" x14ac:dyDescent="0.35">
      <c r="H74" s="3" t="str">
        <v>Al</v>
      </c>
      <c r="I74" s="3" t="str">
        <v>Aluminum</v>
      </c>
      <c r="J74" s="3" t="str">
        <v>Gas-1</v>
      </c>
      <c r="K74" s="3" t="str">
        <v/>
      </c>
      <c r="L74" s="3" t="str">
        <v/>
      </c>
      <c r="M74" s="3">
        <v>294001</v>
      </c>
      <c r="N74" s="3">
        <v>2790.8119999999999</v>
      </c>
      <c r="O74" s="3">
        <v>298.14999999999998</v>
      </c>
      <c r="P74" s="3">
        <v>2790.81</v>
      </c>
      <c r="Q74" s="3">
        <v>20.7918625667639</v>
      </c>
      <c r="R74" s="3">
        <v>0</v>
      </c>
      <c r="S74" s="3">
        <v>53510.965316117501</v>
      </c>
      <c r="T74" s="3">
        <v>-2</v>
      </c>
      <c r="U74" s="3">
        <v>-0.30007285478187001</v>
      </c>
      <c r="V74" s="3">
        <v>-0.5</v>
      </c>
      <c r="W74" s="3">
        <v>365227.17151327198</v>
      </c>
      <c r="X74" s="3">
        <v>-3</v>
      </c>
      <c r="Y74" s="3">
        <v>0</v>
      </c>
      <c r="Z74" s="3">
        <v>0</v>
      </c>
      <c r="AA74" s="3">
        <v>0</v>
      </c>
      <c r="AB74" s="3">
        <v>0</v>
      </c>
      <c r="AC74" s="3">
        <v>0</v>
      </c>
      <c r="AD74" s="3">
        <v>0</v>
      </c>
      <c r="AE74" s="3">
        <v>0</v>
      </c>
      <c r="AF74" s="3">
        <v>0</v>
      </c>
    </row>
    <row r="75" spans="8:32" x14ac:dyDescent="0.35">
      <c r="H75" s="3" t="str">
        <v>Al</v>
      </c>
      <c r="I75" s="3" t="str">
        <v>Aluminum</v>
      </c>
      <c r="J75" s="3" t="str">
        <v>Gas-1</v>
      </c>
      <c r="K75" s="3" t="str">
        <v/>
      </c>
      <c r="L75" s="3" t="str">
        <v/>
      </c>
      <c r="M75" s="3">
        <v>294001</v>
      </c>
      <c r="N75" s="3">
        <v>2790.8119999999999</v>
      </c>
      <c r="O75" s="3">
        <v>2790.81</v>
      </c>
      <c r="P75" s="3">
        <v>6000</v>
      </c>
      <c r="Q75" s="3">
        <v>-893.86073702335398</v>
      </c>
      <c r="R75" s="3">
        <v>0</v>
      </c>
      <c r="S75" s="3">
        <v>664787395.83768499</v>
      </c>
      <c r="T75" s="3">
        <v>-2</v>
      </c>
      <c r="U75" s="3">
        <v>-2009411.02559499</v>
      </c>
      <c r="V75" s="3">
        <v>-1</v>
      </c>
      <c r="W75" s="3">
        <v>4.2602375415658802</v>
      </c>
      <c r="X75" s="3">
        <v>0.5</v>
      </c>
      <c r="Y75" s="3">
        <v>69957.6224999681</v>
      </c>
      <c r="Z75" s="3">
        <v>-0.5</v>
      </c>
      <c r="AA75" s="3">
        <v>0</v>
      </c>
      <c r="AB75" s="3">
        <v>0</v>
      </c>
      <c r="AC75" s="3">
        <v>0</v>
      </c>
      <c r="AD75" s="3">
        <v>0</v>
      </c>
      <c r="AE75" s="3">
        <v>0</v>
      </c>
      <c r="AF75" s="3">
        <v>0</v>
      </c>
    </row>
    <row r="76" spans="8:32" x14ac:dyDescent="0.35">
      <c r="H76" s="3" t="str">
        <v>Si</v>
      </c>
      <c r="I76" s="3" t="str">
        <v>Silicon</v>
      </c>
      <c r="J76" s="3" t="str">
        <v>Solid</v>
      </c>
      <c r="K76" s="3">
        <v>0</v>
      </c>
      <c r="L76" s="3">
        <v>18.82</v>
      </c>
      <c r="M76" s="3" t="str">
        <v/>
      </c>
      <c r="N76" s="3" t="str">
        <v/>
      </c>
      <c r="O76" s="3">
        <v>298.14999999999998</v>
      </c>
      <c r="P76" s="3">
        <v>1685</v>
      </c>
      <c r="Q76" s="3">
        <v>22.809186827219399</v>
      </c>
      <c r="R76" s="3">
        <v>0</v>
      </c>
      <c r="S76" s="3">
        <v>3.87068630602038E-3</v>
      </c>
      <c r="T76" s="3">
        <v>1</v>
      </c>
      <c r="U76" s="3">
        <v>-352992.07100702001</v>
      </c>
      <c r="V76" s="3">
        <v>-2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  <c r="AC76" s="3">
        <v>0</v>
      </c>
      <c r="AD76" s="3">
        <v>0</v>
      </c>
      <c r="AE76" s="3">
        <v>0</v>
      </c>
      <c r="AF76" s="3">
        <v>0</v>
      </c>
    </row>
    <row r="77" spans="8:32" x14ac:dyDescent="0.35">
      <c r="H77" s="3" t="str">
        <v>Si</v>
      </c>
      <c r="I77" s="3" t="str">
        <v>Silicon</v>
      </c>
      <c r="J77" s="3" t="str">
        <v>Solid</v>
      </c>
      <c r="K77" s="3">
        <v>0</v>
      </c>
      <c r="L77" s="3">
        <v>18.82</v>
      </c>
      <c r="M77" s="3" t="str">
        <v/>
      </c>
      <c r="N77" s="3" t="str">
        <v/>
      </c>
      <c r="O77" s="3">
        <v>1685</v>
      </c>
      <c r="P77" s="3">
        <v>2500</v>
      </c>
      <c r="Q77" s="3">
        <v>22.103566454381902</v>
      </c>
      <c r="R77" s="3">
        <v>0</v>
      </c>
      <c r="S77" s="3">
        <v>4.2156675896113799E-3</v>
      </c>
      <c r="T77" s="3">
        <v>1</v>
      </c>
      <c r="U77" s="3">
        <v>0</v>
      </c>
      <c r="V77" s="3">
        <v>0</v>
      </c>
      <c r="W77" s="3">
        <v>0</v>
      </c>
      <c r="X77" s="3">
        <v>0</v>
      </c>
      <c r="Y77" s="3">
        <v>0</v>
      </c>
      <c r="Z77" s="3">
        <v>0</v>
      </c>
      <c r="AA77" s="3">
        <v>0</v>
      </c>
      <c r="AB77" s="3">
        <v>0</v>
      </c>
      <c r="AC77" s="3">
        <v>0</v>
      </c>
      <c r="AD77" s="3">
        <v>0</v>
      </c>
      <c r="AE77" s="3">
        <v>0</v>
      </c>
      <c r="AF77" s="3">
        <v>0</v>
      </c>
    </row>
    <row r="78" spans="8:32" x14ac:dyDescent="0.35">
      <c r="H78" s="3" t="str">
        <v>Si</v>
      </c>
      <c r="I78" s="3" t="str">
        <v>Silicon</v>
      </c>
      <c r="J78" s="3" t="str">
        <v>Liquid</v>
      </c>
      <c r="K78" s="3" t="str">
        <v/>
      </c>
      <c r="L78" s="3" t="str">
        <v/>
      </c>
      <c r="M78" s="3">
        <v>50200</v>
      </c>
      <c r="N78" s="3">
        <v>1685</v>
      </c>
      <c r="O78" s="3">
        <v>298.14999999999998</v>
      </c>
      <c r="P78" s="3">
        <v>1685</v>
      </c>
      <c r="Q78" s="3">
        <v>22.809186827219399</v>
      </c>
      <c r="R78" s="3">
        <v>0</v>
      </c>
      <c r="S78" s="3">
        <v>3.870686306E-3</v>
      </c>
      <c r="T78" s="3">
        <v>1</v>
      </c>
      <c r="U78" s="3">
        <v>-352992.07100702001</v>
      </c>
      <c r="V78" s="3">
        <v>-2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  <c r="AC78" s="3">
        <v>0</v>
      </c>
      <c r="AD78" s="3">
        <v>0</v>
      </c>
      <c r="AE78" s="3">
        <v>0</v>
      </c>
      <c r="AF78" s="3">
        <v>0</v>
      </c>
    </row>
    <row r="79" spans="8:32" x14ac:dyDescent="0.35">
      <c r="H79" s="3" t="str">
        <v>Si</v>
      </c>
      <c r="I79" s="3" t="str">
        <v>Silicon</v>
      </c>
      <c r="J79" s="3" t="str">
        <v>Liquid</v>
      </c>
      <c r="K79" s="3" t="str">
        <v/>
      </c>
      <c r="L79" s="3" t="str">
        <v/>
      </c>
      <c r="M79" s="3">
        <v>50200</v>
      </c>
      <c r="N79" s="3">
        <v>1685</v>
      </c>
      <c r="O79" s="3">
        <v>1685</v>
      </c>
      <c r="P79" s="3">
        <v>4500</v>
      </c>
      <c r="Q79" s="3">
        <v>27.196000000000002</v>
      </c>
      <c r="R79" s="3">
        <v>0</v>
      </c>
      <c r="S79" s="3">
        <v>0</v>
      </c>
      <c r="T79" s="3">
        <v>0</v>
      </c>
      <c r="U79" s="3">
        <v>0</v>
      </c>
      <c r="V79" s="3">
        <v>0</v>
      </c>
      <c r="W79" s="3">
        <v>0</v>
      </c>
      <c r="X79" s="3">
        <v>0</v>
      </c>
      <c r="Y79" s="3">
        <v>0</v>
      </c>
      <c r="Z79" s="3">
        <v>0</v>
      </c>
      <c r="AA79" s="3">
        <v>0</v>
      </c>
      <c r="AB79" s="3">
        <v>0</v>
      </c>
      <c r="AC79" s="3">
        <v>0</v>
      </c>
      <c r="AD79" s="3">
        <v>0</v>
      </c>
      <c r="AE79" s="3">
        <v>0</v>
      </c>
      <c r="AF79" s="3">
        <v>0</v>
      </c>
    </row>
    <row r="80" spans="8:32" x14ac:dyDescent="0.35">
      <c r="H80" s="3" t="str">
        <v>Si</v>
      </c>
      <c r="I80" s="3" t="str">
        <v>Silicon</v>
      </c>
      <c r="J80" s="3" t="str">
        <v>Gas</v>
      </c>
      <c r="K80" s="3">
        <v>450000</v>
      </c>
      <c r="L80" s="3">
        <v>167.98</v>
      </c>
      <c r="M80" s="3" t="str">
        <v/>
      </c>
      <c r="N80" s="3" t="str">
        <v/>
      </c>
      <c r="O80" s="3">
        <v>298.14999999999998</v>
      </c>
      <c r="P80" s="3">
        <v>1500</v>
      </c>
      <c r="Q80" s="3">
        <v>22.013617236851001</v>
      </c>
      <c r="R80" s="3">
        <v>0</v>
      </c>
      <c r="S80" s="3">
        <v>-1.8569535033862699E-3</v>
      </c>
      <c r="T80" s="3">
        <v>1</v>
      </c>
      <c r="U80" s="3">
        <v>159478.83888300401</v>
      </c>
      <c r="V80" s="3">
        <v>-2</v>
      </c>
      <c r="W80" s="3">
        <v>9.7820343118477904E-7</v>
      </c>
      <c r="X80" s="3">
        <v>2</v>
      </c>
      <c r="Y80" s="3">
        <v>-324.66876783132699</v>
      </c>
      <c r="Z80" s="3">
        <v>-1</v>
      </c>
      <c r="AA80" s="3">
        <v>0</v>
      </c>
      <c r="AB80" s="3">
        <v>0</v>
      </c>
      <c r="AC80" s="3">
        <v>0</v>
      </c>
      <c r="AD80" s="3">
        <v>0</v>
      </c>
      <c r="AE80" s="3">
        <v>0</v>
      </c>
      <c r="AF80" s="3">
        <v>0</v>
      </c>
    </row>
    <row r="81" spans="8:32" x14ac:dyDescent="0.35">
      <c r="H81" s="3" t="str">
        <v>Si</v>
      </c>
      <c r="I81" s="3" t="str">
        <v>Silicon</v>
      </c>
      <c r="J81" s="3" t="str">
        <v>Gas</v>
      </c>
      <c r="K81" s="3">
        <v>450000</v>
      </c>
      <c r="L81" s="3">
        <v>167.98</v>
      </c>
      <c r="M81" s="3" t="str">
        <v/>
      </c>
      <c r="N81" s="3" t="str">
        <v/>
      </c>
      <c r="O81" s="3">
        <v>1500</v>
      </c>
      <c r="P81" s="3">
        <v>3504.62</v>
      </c>
      <c r="Q81" s="3">
        <v>56.9233619742404</v>
      </c>
      <c r="R81" s="3">
        <v>0</v>
      </c>
      <c r="S81" s="3">
        <v>-2.1278584735429599E-3</v>
      </c>
      <c r="T81" s="3">
        <v>1</v>
      </c>
      <c r="U81" s="3">
        <v>33326.4590468182</v>
      </c>
      <c r="V81" s="3">
        <v>-2</v>
      </c>
      <c r="W81" s="3">
        <v>34541.6372711773</v>
      </c>
      <c r="X81" s="3">
        <v>-1</v>
      </c>
      <c r="Y81" s="3">
        <v>-2149.1403746143701</v>
      </c>
      <c r="Z81" s="3">
        <v>-0.5</v>
      </c>
      <c r="AA81" s="3">
        <v>0</v>
      </c>
      <c r="AB81" s="3">
        <v>0</v>
      </c>
      <c r="AC81" s="3">
        <v>0</v>
      </c>
      <c r="AD81" s="3">
        <v>0</v>
      </c>
      <c r="AE81" s="3">
        <v>0</v>
      </c>
      <c r="AF81" s="3">
        <v>0</v>
      </c>
    </row>
    <row r="82" spans="8:32" x14ac:dyDescent="0.35">
      <c r="H82" s="3" t="str">
        <v>Si</v>
      </c>
      <c r="I82" s="3" t="str">
        <v>Silicon</v>
      </c>
      <c r="J82" s="3" t="str">
        <v>Gas</v>
      </c>
      <c r="K82" s="3">
        <v>450000</v>
      </c>
      <c r="L82" s="3">
        <v>167.98</v>
      </c>
      <c r="M82" s="3" t="str">
        <v/>
      </c>
      <c r="N82" s="3" t="str">
        <v/>
      </c>
      <c r="O82" s="3">
        <v>3504.62</v>
      </c>
      <c r="P82" s="3">
        <v>6000</v>
      </c>
      <c r="Q82" s="3">
        <v>47.882436813618099</v>
      </c>
      <c r="R82" s="3">
        <v>0</v>
      </c>
      <c r="S82" s="3">
        <v>-180350847.499625</v>
      </c>
      <c r="T82" s="3">
        <v>-2</v>
      </c>
      <c r="U82" s="3">
        <v>232882.345728499</v>
      </c>
      <c r="V82" s="3">
        <v>-1</v>
      </c>
      <c r="W82" s="3">
        <v>-4536.3166437664304</v>
      </c>
      <c r="X82" s="3">
        <v>-0.5</v>
      </c>
      <c r="Y82" s="3">
        <v>0</v>
      </c>
      <c r="Z82" s="3">
        <v>0</v>
      </c>
      <c r="AA82" s="3">
        <v>0</v>
      </c>
      <c r="AB82" s="3">
        <v>0</v>
      </c>
      <c r="AC82" s="3">
        <v>0</v>
      </c>
      <c r="AD82" s="3">
        <v>0</v>
      </c>
      <c r="AE82" s="3">
        <v>0</v>
      </c>
      <c r="AF82" s="3">
        <v>0</v>
      </c>
    </row>
    <row r="83" spans="8:32" x14ac:dyDescent="0.35">
      <c r="H83" s="3" t="str">
        <v>P</v>
      </c>
      <c r="I83" s="3" t="str">
        <v>Phosphorus</v>
      </c>
      <c r="J83" s="3" t="str">
        <v>Solid (white)</v>
      </c>
      <c r="K83" s="3">
        <v>0</v>
      </c>
      <c r="L83" s="3">
        <v>41.076999999999998</v>
      </c>
      <c r="M83" s="3" t="str">
        <v/>
      </c>
      <c r="N83" s="3" t="str">
        <v/>
      </c>
      <c r="O83" s="3">
        <v>298.14999999999998</v>
      </c>
      <c r="P83" s="3">
        <v>500</v>
      </c>
      <c r="Q83" s="3">
        <v>-825.69715377678199</v>
      </c>
      <c r="R83" s="3">
        <v>0</v>
      </c>
      <c r="S83" s="3">
        <v>1.44533447380418</v>
      </c>
      <c r="T83" s="3">
        <v>1</v>
      </c>
      <c r="U83" s="3">
        <v>-21269393.056775499</v>
      </c>
      <c r="V83" s="3">
        <v>-2</v>
      </c>
      <c r="W83" s="3">
        <v>-9.0201072731654105E-4</v>
      </c>
      <c r="X83" s="3">
        <v>2</v>
      </c>
      <c r="Y83" s="3">
        <v>220046.71026291899</v>
      </c>
      <c r="Z83" s="3">
        <v>-1</v>
      </c>
      <c r="AA83" s="3">
        <v>0</v>
      </c>
      <c r="AB83" s="3">
        <v>0</v>
      </c>
      <c r="AC83" s="3">
        <v>0</v>
      </c>
      <c r="AD83" s="3">
        <v>0</v>
      </c>
      <c r="AE83" s="3">
        <v>0</v>
      </c>
      <c r="AF83" s="3">
        <v>0</v>
      </c>
    </row>
    <row r="84" spans="8:32" x14ac:dyDescent="0.35">
      <c r="H84" s="3" t="str">
        <v>P</v>
      </c>
      <c r="I84" s="3" t="str">
        <v>Phosphorus</v>
      </c>
      <c r="J84" s="3" t="str">
        <v>Solid (white)</v>
      </c>
      <c r="K84" s="3">
        <v>0</v>
      </c>
      <c r="L84" s="3">
        <v>41.076999999999998</v>
      </c>
      <c r="M84" s="3" t="str">
        <v/>
      </c>
      <c r="N84" s="3" t="str">
        <v/>
      </c>
      <c r="O84" s="3">
        <v>500</v>
      </c>
      <c r="P84" s="3">
        <v>1000</v>
      </c>
      <c r="Q84" s="3">
        <v>26.484999999999999</v>
      </c>
      <c r="R84" s="3">
        <v>0</v>
      </c>
      <c r="S84" s="3">
        <v>0</v>
      </c>
      <c r="T84" s="3">
        <v>0</v>
      </c>
      <c r="U84" s="3">
        <v>0</v>
      </c>
      <c r="V84" s="3">
        <v>0</v>
      </c>
      <c r="W84" s="3">
        <v>0</v>
      </c>
      <c r="X84" s="3">
        <v>0</v>
      </c>
      <c r="Y84" s="3">
        <v>0</v>
      </c>
      <c r="Z84" s="3">
        <v>0</v>
      </c>
      <c r="AA84" s="3">
        <v>0</v>
      </c>
      <c r="AB84" s="3">
        <v>0</v>
      </c>
      <c r="AC84" s="3">
        <v>0</v>
      </c>
      <c r="AD84" s="3">
        <v>0</v>
      </c>
      <c r="AE84" s="3">
        <v>0</v>
      </c>
      <c r="AF84" s="3">
        <v>0</v>
      </c>
    </row>
    <row r="85" spans="8:32" x14ac:dyDescent="0.35">
      <c r="H85" s="3" t="str">
        <v>P</v>
      </c>
      <c r="I85" s="3" t="str">
        <v>Phosphorus</v>
      </c>
      <c r="J85" s="3" t="str">
        <v>Solid (red, V)</v>
      </c>
      <c r="K85" s="3">
        <v>-17460</v>
      </c>
      <c r="L85" s="3">
        <v>22.853000000000002</v>
      </c>
      <c r="M85" s="3" t="str">
        <v/>
      </c>
      <c r="N85" s="3" t="str">
        <v/>
      </c>
      <c r="O85" s="3">
        <v>298.14999999999998</v>
      </c>
      <c r="P85" s="3">
        <v>700</v>
      </c>
      <c r="Q85" s="3">
        <v>25.146607030084201</v>
      </c>
      <c r="R85" s="3">
        <v>0</v>
      </c>
      <c r="S85" s="3">
        <v>-5.4205993577292402E-3</v>
      </c>
      <c r="T85" s="3">
        <v>1</v>
      </c>
      <c r="U85" s="3">
        <v>-312414.48701569502</v>
      </c>
      <c r="V85" s="3">
        <v>-2</v>
      </c>
      <c r="W85" s="3">
        <v>1.32291361134643E-5</v>
      </c>
      <c r="X85" s="3">
        <v>2</v>
      </c>
      <c r="Y85" s="3">
        <v>0</v>
      </c>
      <c r="Z85" s="3">
        <v>0</v>
      </c>
      <c r="AA85" s="3">
        <v>0</v>
      </c>
      <c r="AB85" s="3">
        <v>0</v>
      </c>
      <c r="AC85" s="3">
        <v>0</v>
      </c>
      <c r="AD85" s="3">
        <v>0</v>
      </c>
      <c r="AE85" s="3">
        <v>0</v>
      </c>
      <c r="AF85" s="3">
        <v>0</v>
      </c>
    </row>
    <row r="86" spans="8:32" x14ac:dyDescent="0.35">
      <c r="H86" s="3" t="str">
        <v>P</v>
      </c>
      <c r="I86" s="3" t="str">
        <v>Phosphorus</v>
      </c>
      <c r="J86" s="3" t="str">
        <v>Solid (red, V)</v>
      </c>
      <c r="K86" s="3">
        <v>-17460</v>
      </c>
      <c r="L86" s="3">
        <v>22.853000000000002</v>
      </c>
      <c r="M86" s="3" t="str">
        <v/>
      </c>
      <c r="N86" s="3" t="str">
        <v/>
      </c>
      <c r="O86" s="3">
        <v>700</v>
      </c>
      <c r="P86" s="3">
        <v>800</v>
      </c>
      <c r="Q86" s="3">
        <v>-41.333931283800297</v>
      </c>
      <c r="R86" s="3">
        <v>0</v>
      </c>
      <c r="S86" s="3">
        <v>9.7901164104750402E-2</v>
      </c>
      <c r="T86" s="3">
        <v>1</v>
      </c>
      <c r="U86" s="3">
        <v>0</v>
      </c>
      <c r="V86" s="3">
        <v>0</v>
      </c>
      <c r="W86" s="3">
        <v>0</v>
      </c>
      <c r="X86" s="3">
        <v>0</v>
      </c>
      <c r="Y86" s="3">
        <v>0</v>
      </c>
      <c r="Z86" s="3">
        <v>0</v>
      </c>
      <c r="AA86" s="3">
        <v>0</v>
      </c>
      <c r="AB86" s="3">
        <v>0</v>
      </c>
      <c r="AC86" s="3">
        <v>0</v>
      </c>
      <c r="AD86" s="3">
        <v>0</v>
      </c>
      <c r="AE86" s="3">
        <v>0</v>
      </c>
      <c r="AF86" s="3">
        <v>0</v>
      </c>
    </row>
    <row r="87" spans="8:32" x14ac:dyDescent="0.35">
      <c r="H87" s="3" t="str">
        <v>P</v>
      </c>
      <c r="I87" s="3" t="str">
        <v>Phosphorus</v>
      </c>
      <c r="J87" s="3" t="str">
        <v>Solid (red, V)</v>
      </c>
      <c r="K87" s="3">
        <v>-17460</v>
      </c>
      <c r="L87" s="3">
        <v>22.853000000000002</v>
      </c>
      <c r="M87" s="3" t="str">
        <v/>
      </c>
      <c r="N87" s="3" t="str">
        <v/>
      </c>
      <c r="O87" s="3">
        <v>800</v>
      </c>
      <c r="P87" s="3">
        <v>900</v>
      </c>
      <c r="Q87" s="3">
        <v>92.555000000000007</v>
      </c>
      <c r="R87" s="3">
        <v>0</v>
      </c>
      <c r="S87" s="3">
        <v>-6.9459999999999994E-2</v>
      </c>
      <c r="T87" s="3">
        <v>1</v>
      </c>
      <c r="U87" s="3">
        <v>0</v>
      </c>
      <c r="V87" s="3">
        <v>0</v>
      </c>
      <c r="W87" s="3">
        <v>0</v>
      </c>
      <c r="X87" s="3">
        <v>0</v>
      </c>
      <c r="Y87" s="3">
        <v>0</v>
      </c>
      <c r="Z87" s="3">
        <v>0</v>
      </c>
      <c r="AA87" s="3">
        <v>0</v>
      </c>
      <c r="AB87" s="3">
        <v>0</v>
      </c>
      <c r="AC87" s="3">
        <v>0</v>
      </c>
      <c r="AD87" s="3">
        <v>0</v>
      </c>
      <c r="AE87" s="3">
        <v>0</v>
      </c>
      <c r="AF87" s="3">
        <v>0</v>
      </c>
    </row>
    <row r="88" spans="8:32" x14ac:dyDescent="0.35">
      <c r="H88" s="3" t="str">
        <v>P</v>
      </c>
      <c r="I88" s="3" t="str">
        <v>Phosphorus</v>
      </c>
      <c r="J88" s="3" t="str">
        <v>Solid (red, V)</v>
      </c>
      <c r="K88" s="3">
        <v>-17460</v>
      </c>
      <c r="L88" s="3">
        <v>22.853000000000002</v>
      </c>
      <c r="M88" s="3" t="str">
        <v/>
      </c>
      <c r="N88" s="3" t="str">
        <v/>
      </c>
      <c r="O88" s="3">
        <v>900</v>
      </c>
      <c r="P88" s="3">
        <v>1000</v>
      </c>
      <c r="Q88" s="3">
        <v>17.234000000000002</v>
      </c>
      <c r="R88" s="3">
        <v>0</v>
      </c>
      <c r="S88" s="3">
        <v>1.423E-2</v>
      </c>
      <c r="T88" s="3">
        <v>1</v>
      </c>
      <c r="U88" s="3">
        <v>0</v>
      </c>
      <c r="V88" s="3">
        <v>0</v>
      </c>
      <c r="W88" s="3">
        <v>0</v>
      </c>
      <c r="X88" s="3">
        <v>0</v>
      </c>
      <c r="Y88" s="3">
        <v>0</v>
      </c>
      <c r="Z88" s="3">
        <v>0</v>
      </c>
      <c r="AA88" s="3">
        <v>0</v>
      </c>
      <c r="AB88" s="3">
        <v>0</v>
      </c>
      <c r="AC88" s="3">
        <v>0</v>
      </c>
      <c r="AD88" s="3">
        <v>0</v>
      </c>
      <c r="AE88" s="3">
        <v>0</v>
      </c>
      <c r="AF88" s="3">
        <v>0</v>
      </c>
    </row>
    <row r="89" spans="8:32" x14ac:dyDescent="0.35">
      <c r="H89" s="3" t="str">
        <v>P</v>
      </c>
      <c r="I89" s="3" t="str">
        <v>Phosphorus</v>
      </c>
      <c r="J89" s="3" t="str">
        <v>Solid (red, IV)</v>
      </c>
      <c r="K89" s="3">
        <v>-12439</v>
      </c>
      <c r="L89" s="3">
        <v>23.196999999999999</v>
      </c>
      <c r="M89" s="3" t="str">
        <v/>
      </c>
      <c r="N89" s="3" t="str">
        <v/>
      </c>
      <c r="O89" s="3">
        <v>298.14999999999998</v>
      </c>
      <c r="P89" s="3">
        <v>1000</v>
      </c>
      <c r="Q89" s="3">
        <v>11.558544824419799</v>
      </c>
      <c r="R89" s="3">
        <v>0</v>
      </c>
      <c r="S89" s="3">
        <v>1.7149456585574901E-2</v>
      </c>
      <c r="T89" s="3">
        <v>1</v>
      </c>
      <c r="U89" s="3">
        <v>-628351.66065096902</v>
      </c>
      <c r="V89" s="3">
        <v>-2</v>
      </c>
      <c r="W89" s="3">
        <v>3477.7915538105199</v>
      </c>
      <c r="X89" s="3">
        <v>-1</v>
      </c>
      <c r="Y89" s="3">
        <v>0</v>
      </c>
      <c r="Z89" s="3">
        <v>0</v>
      </c>
      <c r="AA89" s="3">
        <v>0</v>
      </c>
      <c r="AB89" s="3">
        <v>0</v>
      </c>
      <c r="AC89" s="3">
        <v>0</v>
      </c>
      <c r="AD89" s="3">
        <v>0</v>
      </c>
      <c r="AE89" s="3">
        <v>0</v>
      </c>
      <c r="AF89" s="3">
        <v>0</v>
      </c>
    </row>
    <row r="90" spans="8:32" x14ac:dyDescent="0.35">
      <c r="H90" s="3" t="str">
        <v>P</v>
      </c>
      <c r="I90" s="3" t="str">
        <v>Phosphorus</v>
      </c>
      <c r="J90" s="3" t="str">
        <v>Solid (black)</v>
      </c>
      <c r="K90" s="3">
        <v>-12851</v>
      </c>
      <c r="L90" s="3">
        <v>22.585999999999999</v>
      </c>
      <c r="M90" s="3" t="str">
        <v/>
      </c>
      <c r="N90" s="3" t="str">
        <v/>
      </c>
      <c r="O90" s="3">
        <v>298.14999999999998</v>
      </c>
      <c r="P90" s="3">
        <v>1000</v>
      </c>
      <c r="Q90" s="3">
        <v>11.8211508122355</v>
      </c>
      <c r="R90" s="3">
        <v>0</v>
      </c>
      <c r="S90" s="3">
        <v>1.7163950877473098E-2</v>
      </c>
      <c r="T90" s="3">
        <v>1</v>
      </c>
      <c r="U90" s="3">
        <v>-631044.699443502</v>
      </c>
      <c r="V90" s="3">
        <v>-2</v>
      </c>
      <c r="W90" s="3">
        <v>3492.6378619492798</v>
      </c>
      <c r="X90" s="3">
        <v>-1</v>
      </c>
      <c r="Y90" s="3">
        <v>0</v>
      </c>
      <c r="Z90" s="3">
        <v>0</v>
      </c>
      <c r="AA90" s="3">
        <v>0</v>
      </c>
      <c r="AB90" s="3">
        <v>0</v>
      </c>
      <c r="AC90" s="3">
        <v>0</v>
      </c>
      <c r="AD90" s="3">
        <v>0</v>
      </c>
      <c r="AE90" s="3">
        <v>0</v>
      </c>
      <c r="AF90" s="3">
        <v>0</v>
      </c>
    </row>
    <row r="91" spans="8:32" x14ac:dyDescent="0.35">
      <c r="H91" s="3" t="str">
        <v>P</v>
      </c>
      <c r="I91" s="3" t="str">
        <v>Phosphorus</v>
      </c>
      <c r="J91" s="3" t="str">
        <v>Liquid</v>
      </c>
      <c r="K91" s="3" t="str">
        <v/>
      </c>
      <c r="L91" s="3" t="str">
        <v/>
      </c>
      <c r="M91" s="3">
        <v>659</v>
      </c>
      <c r="N91" s="3">
        <v>317.3</v>
      </c>
      <c r="O91" s="3">
        <v>298.14999999999998</v>
      </c>
      <c r="P91" s="3">
        <v>2000</v>
      </c>
      <c r="Q91" s="3">
        <v>26.326000000000001</v>
      </c>
      <c r="R91" s="3">
        <v>0</v>
      </c>
      <c r="S91" s="3">
        <v>0</v>
      </c>
      <c r="T91" s="3">
        <v>0</v>
      </c>
      <c r="U91" s="3">
        <v>0</v>
      </c>
      <c r="V91" s="3">
        <v>0</v>
      </c>
      <c r="W91" s="3">
        <v>0</v>
      </c>
      <c r="X91" s="3">
        <v>0</v>
      </c>
      <c r="Y91" s="3">
        <v>0</v>
      </c>
      <c r="Z91" s="3">
        <v>0</v>
      </c>
      <c r="AA91" s="3">
        <v>0</v>
      </c>
      <c r="AB91" s="3">
        <v>0</v>
      </c>
      <c r="AC91" s="3">
        <v>0</v>
      </c>
      <c r="AD91" s="3">
        <v>0</v>
      </c>
      <c r="AE91" s="3">
        <v>0</v>
      </c>
      <c r="AF91" s="3">
        <v>0</v>
      </c>
    </row>
    <row r="92" spans="8:32" x14ac:dyDescent="0.35">
      <c r="H92" s="3" t="str">
        <v>P</v>
      </c>
      <c r="I92" s="3" t="str">
        <v>Phosphorus</v>
      </c>
      <c r="J92" s="3" t="str">
        <v>Gas</v>
      </c>
      <c r="K92" s="3">
        <v>316390</v>
      </c>
      <c r="L92" s="3">
        <v>163.19800000000001</v>
      </c>
      <c r="M92" s="3" t="str">
        <v/>
      </c>
      <c r="N92" s="3" t="str">
        <v/>
      </c>
      <c r="O92" s="3">
        <v>298.14999999999998</v>
      </c>
      <c r="P92" s="3">
        <v>2000</v>
      </c>
      <c r="Q92" s="3">
        <v>22.8401094388941</v>
      </c>
      <c r="R92" s="3">
        <v>0</v>
      </c>
      <c r="S92" s="3">
        <v>-2.0600023766762302E-3</v>
      </c>
      <c r="T92" s="3">
        <v>1</v>
      </c>
      <c r="U92" s="3">
        <v>111482.75753983601</v>
      </c>
      <c r="V92" s="3">
        <v>-2</v>
      </c>
      <c r="W92" s="3">
        <v>7.0456147542708101E-7</v>
      </c>
      <c r="X92" s="3">
        <v>2</v>
      </c>
      <c r="Y92" s="3">
        <v>-820.11406808971799</v>
      </c>
      <c r="Z92" s="3">
        <v>-1</v>
      </c>
      <c r="AA92" s="3">
        <v>0</v>
      </c>
      <c r="AB92" s="3">
        <v>0</v>
      </c>
      <c r="AC92" s="3">
        <v>0</v>
      </c>
      <c r="AD92" s="3">
        <v>0</v>
      </c>
      <c r="AE92" s="3">
        <v>0</v>
      </c>
      <c r="AF92" s="3">
        <v>0</v>
      </c>
    </row>
    <row r="93" spans="8:32" x14ac:dyDescent="0.35">
      <c r="H93" s="3" t="str">
        <v>P</v>
      </c>
      <c r="I93" s="3" t="str">
        <v>Phosphorus</v>
      </c>
      <c r="J93" s="3" t="str">
        <v>Gas</v>
      </c>
      <c r="K93" s="3">
        <v>316390</v>
      </c>
      <c r="L93" s="3">
        <v>163.19800000000001</v>
      </c>
      <c r="M93" s="3" t="str">
        <v/>
      </c>
      <c r="N93" s="3" t="str">
        <v/>
      </c>
      <c r="O93" s="3">
        <v>2000</v>
      </c>
      <c r="P93" s="3">
        <v>3500</v>
      </c>
      <c r="Q93" s="3">
        <v>12.9395803909207</v>
      </c>
      <c r="R93" s="3">
        <v>0</v>
      </c>
      <c r="S93" s="3">
        <v>2.6192406692501298E-3</v>
      </c>
      <c r="T93" s="3">
        <v>1</v>
      </c>
      <c r="U93" s="3">
        <v>8866143.6191527192</v>
      </c>
      <c r="V93" s="3">
        <v>-2</v>
      </c>
      <c r="W93" s="3">
        <v>1.9039165209525E-7</v>
      </c>
      <c r="X93" s="3">
        <v>2</v>
      </c>
      <c r="Y93" s="3">
        <v>0</v>
      </c>
      <c r="Z93" s="3">
        <v>0</v>
      </c>
      <c r="AA93" s="3">
        <v>0</v>
      </c>
      <c r="AB93" s="3">
        <v>0</v>
      </c>
      <c r="AC93" s="3">
        <v>0</v>
      </c>
      <c r="AD93" s="3">
        <v>0</v>
      </c>
      <c r="AE93" s="3">
        <v>0</v>
      </c>
      <c r="AF93" s="3">
        <v>0</v>
      </c>
    </row>
    <row r="94" spans="8:32" x14ac:dyDescent="0.35">
      <c r="H94" s="3" t="str">
        <v>P</v>
      </c>
      <c r="I94" s="3" t="str">
        <v>Phosphorus</v>
      </c>
      <c r="J94" s="3" t="str">
        <v>Gas</v>
      </c>
      <c r="K94" s="3">
        <v>316390</v>
      </c>
      <c r="L94" s="3">
        <v>163.19800000000001</v>
      </c>
      <c r="M94" s="3" t="str">
        <v/>
      </c>
      <c r="N94" s="3" t="str">
        <v/>
      </c>
      <c r="O94" s="3">
        <v>3500</v>
      </c>
      <c r="P94" s="3">
        <v>6000</v>
      </c>
      <c r="Q94" s="3">
        <v>-101.20427791562599</v>
      </c>
      <c r="R94" s="3">
        <v>0</v>
      </c>
      <c r="S94" s="3">
        <v>836406415.78232002</v>
      </c>
      <c r="T94" s="3">
        <v>-2</v>
      </c>
      <c r="U94" s="3">
        <v>24331.672278256199</v>
      </c>
      <c r="V94" s="3">
        <v>-0.5</v>
      </c>
      <c r="W94" s="3">
        <v>-1236168.97795006</v>
      </c>
      <c r="X94" s="3">
        <v>-1</v>
      </c>
      <c r="Y94" s="3">
        <v>0</v>
      </c>
      <c r="Z94" s="3">
        <v>0</v>
      </c>
      <c r="AA94" s="3">
        <v>0</v>
      </c>
      <c r="AB94" s="3">
        <v>0</v>
      </c>
      <c r="AC94" s="3">
        <v>0</v>
      </c>
      <c r="AD94" s="3">
        <v>0</v>
      </c>
      <c r="AE94" s="3">
        <v>0</v>
      </c>
      <c r="AF94" s="3">
        <v>0</v>
      </c>
    </row>
    <row r="95" spans="8:32" x14ac:dyDescent="0.35">
      <c r="H95" s="3" t="str">
        <v>S</v>
      </c>
      <c r="I95" s="3" t="str">
        <v>Sulphur</v>
      </c>
      <c r="J95" s="3" t="str">
        <v>Orthorhombic</v>
      </c>
      <c r="K95" s="3">
        <v>0</v>
      </c>
      <c r="L95" s="3">
        <v>32.055999999999997</v>
      </c>
      <c r="M95" s="3" t="str">
        <v/>
      </c>
      <c r="N95" s="3" t="str">
        <v/>
      </c>
      <c r="O95" s="3">
        <v>298.14999999999998</v>
      </c>
      <c r="P95" s="3">
        <v>800</v>
      </c>
      <c r="Q95" s="3">
        <v>17.263205443116199</v>
      </c>
      <c r="R95" s="3">
        <v>0</v>
      </c>
      <c r="S95" s="3">
        <v>2.00056230353786E-2</v>
      </c>
      <c r="T95" s="3">
        <v>1</v>
      </c>
      <c r="U95" s="3">
        <v>-151.53412481178299</v>
      </c>
      <c r="V95" s="3">
        <v>-1</v>
      </c>
      <c r="W95" s="3">
        <v>0</v>
      </c>
      <c r="X95" s="3">
        <v>0</v>
      </c>
      <c r="Y95" s="3">
        <v>0</v>
      </c>
      <c r="Z95" s="3">
        <v>0</v>
      </c>
      <c r="AA95" s="3">
        <v>0</v>
      </c>
      <c r="AB95" s="3">
        <v>0</v>
      </c>
      <c r="AC95" s="3">
        <v>0</v>
      </c>
      <c r="AD95" s="3">
        <v>0</v>
      </c>
      <c r="AE95" s="3">
        <v>0</v>
      </c>
      <c r="AF95" s="3">
        <v>0</v>
      </c>
    </row>
    <row r="96" spans="8:32" x14ac:dyDescent="0.35">
      <c r="H96" s="3" t="str">
        <v>S</v>
      </c>
      <c r="I96" s="3" t="str">
        <v>Sulphur</v>
      </c>
      <c r="J96" s="3" t="str">
        <v>Orthorhombic</v>
      </c>
      <c r="K96" s="3">
        <v>0</v>
      </c>
      <c r="L96" s="3">
        <v>32.055999999999997</v>
      </c>
      <c r="M96" s="3" t="str">
        <v/>
      </c>
      <c r="N96" s="3" t="str">
        <v/>
      </c>
      <c r="O96" s="3">
        <v>800</v>
      </c>
      <c r="P96" s="3">
        <v>801</v>
      </c>
      <c r="Q96" s="3">
        <v>31.655000000000001</v>
      </c>
      <c r="R96" s="3">
        <v>0</v>
      </c>
      <c r="S96" s="3">
        <v>0</v>
      </c>
      <c r="T96" s="3">
        <v>0</v>
      </c>
      <c r="U96" s="3">
        <v>0</v>
      </c>
      <c r="V96" s="3">
        <v>0</v>
      </c>
      <c r="W96" s="3">
        <v>0</v>
      </c>
      <c r="X96" s="3">
        <v>0</v>
      </c>
      <c r="Y96" s="3">
        <v>0</v>
      </c>
      <c r="Z96" s="3">
        <v>0</v>
      </c>
      <c r="AA96" s="3">
        <v>0</v>
      </c>
      <c r="AB96" s="3">
        <v>0</v>
      </c>
      <c r="AC96" s="3">
        <v>0</v>
      </c>
      <c r="AD96" s="3">
        <v>0</v>
      </c>
      <c r="AE96" s="3">
        <v>0</v>
      </c>
      <c r="AF96" s="3">
        <v>0</v>
      </c>
    </row>
    <row r="97" spans="8:32" x14ac:dyDescent="0.35">
      <c r="H97" s="3" t="str">
        <v>S</v>
      </c>
      <c r="I97" s="3" t="str">
        <v>Sulphur</v>
      </c>
      <c r="J97" s="3" t="str">
        <v>Monoclinic</v>
      </c>
      <c r="K97" s="3" t="str">
        <v/>
      </c>
      <c r="L97" s="3" t="str">
        <v/>
      </c>
      <c r="M97" s="3">
        <v>400.4</v>
      </c>
      <c r="N97" s="3">
        <v>368.3</v>
      </c>
      <c r="O97" s="3">
        <v>298.14999999999998</v>
      </c>
      <c r="P97" s="3">
        <v>368.3</v>
      </c>
      <c r="Q97" s="3">
        <v>16.603720079986001</v>
      </c>
      <c r="R97" s="3">
        <v>0</v>
      </c>
      <c r="S97" s="3">
        <v>2.22364082798861E-2</v>
      </c>
      <c r="T97" s="3">
        <v>1</v>
      </c>
      <c r="U97" s="3">
        <v>0</v>
      </c>
      <c r="V97" s="3">
        <v>0</v>
      </c>
      <c r="W97" s="3">
        <v>0</v>
      </c>
      <c r="X97" s="3">
        <v>0</v>
      </c>
      <c r="Y97" s="3">
        <v>0</v>
      </c>
      <c r="Z97" s="3">
        <v>0</v>
      </c>
      <c r="AA97" s="3">
        <v>0</v>
      </c>
      <c r="AB97" s="3">
        <v>0</v>
      </c>
      <c r="AC97" s="3">
        <v>0</v>
      </c>
      <c r="AD97" s="3">
        <v>0</v>
      </c>
      <c r="AE97" s="3">
        <v>0</v>
      </c>
      <c r="AF97" s="3">
        <v>0</v>
      </c>
    </row>
    <row r="98" spans="8:32" x14ac:dyDescent="0.35">
      <c r="H98" s="3" t="str">
        <v>S</v>
      </c>
      <c r="I98" s="3" t="str">
        <v>Sulphur</v>
      </c>
      <c r="J98" s="3" t="str">
        <v>Monoclinic</v>
      </c>
      <c r="K98" s="3" t="str">
        <v/>
      </c>
      <c r="L98" s="3" t="str">
        <v/>
      </c>
      <c r="M98" s="3">
        <v>400.4</v>
      </c>
      <c r="N98" s="3">
        <v>368.3</v>
      </c>
      <c r="O98" s="3">
        <v>368.3</v>
      </c>
      <c r="P98" s="3">
        <v>800</v>
      </c>
      <c r="Q98" s="3">
        <v>17.530115325229801</v>
      </c>
      <c r="R98" s="3">
        <v>0</v>
      </c>
      <c r="S98" s="3">
        <v>1.9666001293102101E-2</v>
      </c>
      <c r="T98" s="3">
        <v>1</v>
      </c>
      <c r="U98" s="3">
        <v>0</v>
      </c>
      <c r="V98" s="3">
        <v>0</v>
      </c>
      <c r="W98" s="3">
        <v>0</v>
      </c>
      <c r="X98" s="3">
        <v>0</v>
      </c>
      <c r="Y98" s="3">
        <v>0</v>
      </c>
      <c r="Z98" s="3">
        <v>0</v>
      </c>
      <c r="AA98" s="3">
        <v>0</v>
      </c>
      <c r="AB98" s="3">
        <v>0</v>
      </c>
      <c r="AC98" s="3">
        <v>0</v>
      </c>
      <c r="AD98" s="3">
        <v>0</v>
      </c>
      <c r="AE98" s="3">
        <v>0</v>
      </c>
      <c r="AF98" s="3">
        <v>0</v>
      </c>
    </row>
    <row r="99" spans="8:32" x14ac:dyDescent="0.35">
      <c r="H99" s="3" t="str">
        <v>S</v>
      </c>
      <c r="I99" s="3" t="str">
        <v>Sulphur</v>
      </c>
      <c r="J99" s="3" t="str">
        <v>Monoclinic</v>
      </c>
      <c r="K99" s="3" t="str">
        <v/>
      </c>
      <c r="L99" s="3" t="str">
        <v/>
      </c>
      <c r="M99" s="3">
        <v>400.4</v>
      </c>
      <c r="N99" s="3">
        <v>368.3</v>
      </c>
      <c r="O99" s="3">
        <v>800</v>
      </c>
      <c r="P99" s="3">
        <v>801</v>
      </c>
      <c r="Q99" s="3">
        <v>31.655000000000001</v>
      </c>
      <c r="R99" s="3">
        <v>0</v>
      </c>
      <c r="S99" s="3">
        <v>0</v>
      </c>
      <c r="T99" s="3">
        <v>0</v>
      </c>
      <c r="U99" s="3">
        <v>0</v>
      </c>
      <c r="V99" s="3">
        <v>0</v>
      </c>
      <c r="W99" s="3">
        <v>0</v>
      </c>
      <c r="X99" s="3">
        <v>0</v>
      </c>
      <c r="Y99" s="3">
        <v>0</v>
      </c>
      <c r="Z99" s="3">
        <v>0</v>
      </c>
      <c r="AA99" s="3">
        <v>0</v>
      </c>
      <c r="AB99" s="3">
        <v>0</v>
      </c>
      <c r="AC99" s="3">
        <v>0</v>
      </c>
      <c r="AD99" s="3">
        <v>0</v>
      </c>
      <c r="AE99" s="3">
        <v>0</v>
      </c>
      <c r="AF99" s="3">
        <v>0</v>
      </c>
    </row>
    <row r="100" spans="8:32" x14ac:dyDescent="0.35">
      <c r="H100" s="3" t="str">
        <v>S</v>
      </c>
      <c r="I100" s="3" t="str">
        <v>Sulphur</v>
      </c>
      <c r="J100" s="3" t="str">
        <v>Liquid</v>
      </c>
      <c r="K100" s="3" t="str">
        <v/>
      </c>
      <c r="L100" s="3" t="str">
        <v/>
      </c>
      <c r="M100" s="3">
        <v>1721</v>
      </c>
      <c r="N100" s="3">
        <v>388.36</v>
      </c>
      <c r="O100" s="3">
        <v>298.14999999999998</v>
      </c>
      <c r="P100" s="3">
        <v>388.4</v>
      </c>
      <c r="Q100" s="3">
        <v>-5.6591485590000001</v>
      </c>
      <c r="R100" s="3">
        <v>0</v>
      </c>
      <c r="S100" s="3">
        <v>9.4534367999999994E-2</v>
      </c>
      <c r="T100" s="3">
        <v>1</v>
      </c>
      <c r="U100" s="3">
        <v>0</v>
      </c>
      <c r="V100" s="3">
        <v>0</v>
      </c>
      <c r="W100" s="3">
        <v>0</v>
      </c>
      <c r="X100" s="3">
        <v>0</v>
      </c>
      <c r="Y100" s="3">
        <v>0</v>
      </c>
      <c r="Z100" s="3">
        <v>0</v>
      </c>
      <c r="AA100" s="3">
        <v>0</v>
      </c>
      <c r="AB100" s="3">
        <v>0</v>
      </c>
      <c r="AC100" s="3">
        <v>0</v>
      </c>
      <c r="AD100" s="3">
        <v>0</v>
      </c>
      <c r="AE100" s="3">
        <v>0</v>
      </c>
      <c r="AF100" s="3">
        <v>0</v>
      </c>
    </row>
    <row r="101" spans="8:32" x14ac:dyDescent="0.35">
      <c r="H101" s="3" t="str">
        <v>S</v>
      </c>
      <c r="I101" s="3" t="str">
        <v>Sulphur</v>
      </c>
      <c r="J101" s="3" t="str">
        <v>Liquid</v>
      </c>
      <c r="K101" s="3" t="str">
        <v/>
      </c>
      <c r="L101" s="3" t="str">
        <v/>
      </c>
      <c r="M101" s="3">
        <v>1721</v>
      </c>
      <c r="N101" s="3">
        <v>388.36</v>
      </c>
      <c r="O101" s="3">
        <v>388.4</v>
      </c>
      <c r="P101" s="3">
        <v>432</v>
      </c>
      <c r="Q101" s="3">
        <v>-52.875599999999999</v>
      </c>
      <c r="R101" s="3">
        <v>0</v>
      </c>
      <c r="S101" s="3">
        <v>0.21610099999999999</v>
      </c>
      <c r="T101" s="3">
        <v>1</v>
      </c>
      <c r="U101" s="3">
        <v>0</v>
      </c>
      <c r="V101" s="3">
        <v>0</v>
      </c>
      <c r="W101" s="3">
        <v>0</v>
      </c>
      <c r="X101" s="3">
        <v>0</v>
      </c>
      <c r="Y101" s="3">
        <v>0</v>
      </c>
      <c r="Z101" s="3">
        <v>0</v>
      </c>
      <c r="AA101" s="3">
        <v>0</v>
      </c>
      <c r="AB101" s="3">
        <v>0</v>
      </c>
      <c r="AC101" s="3">
        <v>0</v>
      </c>
      <c r="AD101" s="3">
        <v>0</v>
      </c>
      <c r="AE101" s="3">
        <v>0</v>
      </c>
      <c r="AF101" s="3">
        <v>0</v>
      </c>
    </row>
    <row r="102" spans="8:32" x14ac:dyDescent="0.35">
      <c r="H102" s="3" t="str">
        <v>S</v>
      </c>
      <c r="I102" s="3" t="str">
        <v>Sulphur</v>
      </c>
      <c r="J102" s="3" t="str">
        <v>Liquid</v>
      </c>
      <c r="K102" s="3" t="str">
        <v/>
      </c>
      <c r="L102" s="3" t="str">
        <v/>
      </c>
      <c r="M102" s="3">
        <v>1721</v>
      </c>
      <c r="N102" s="3">
        <v>388.36</v>
      </c>
      <c r="O102" s="3">
        <v>432</v>
      </c>
      <c r="P102" s="3">
        <v>500</v>
      </c>
      <c r="Q102" s="3">
        <v>56.324235299999998</v>
      </c>
      <c r="R102" s="3">
        <v>0</v>
      </c>
      <c r="S102" s="3">
        <v>-3.6676500000000001E-2</v>
      </c>
      <c r="T102" s="3">
        <v>1</v>
      </c>
      <c r="U102" s="3">
        <v>0</v>
      </c>
      <c r="V102" s="3">
        <v>0</v>
      </c>
      <c r="W102" s="3">
        <v>0</v>
      </c>
      <c r="X102" s="3">
        <v>0</v>
      </c>
      <c r="Y102" s="3">
        <v>0</v>
      </c>
      <c r="Z102" s="3">
        <v>0</v>
      </c>
      <c r="AA102" s="3">
        <v>0</v>
      </c>
      <c r="AB102" s="3">
        <v>0</v>
      </c>
      <c r="AC102" s="3">
        <v>0</v>
      </c>
      <c r="AD102" s="3">
        <v>0</v>
      </c>
      <c r="AE102" s="3">
        <v>0</v>
      </c>
      <c r="AF102" s="3">
        <v>0</v>
      </c>
    </row>
    <row r="103" spans="8:32" x14ac:dyDescent="0.35">
      <c r="H103" s="3" t="str">
        <v>S</v>
      </c>
      <c r="I103" s="3" t="str">
        <v>Sulphur</v>
      </c>
      <c r="J103" s="3" t="str">
        <v>Liquid</v>
      </c>
      <c r="K103" s="3" t="str">
        <v/>
      </c>
      <c r="L103" s="3" t="str">
        <v/>
      </c>
      <c r="M103" s="3">
        <v>1721</v>
      </c>
      <c r="N103" s="3">
        <v>388.36</v>
      </c>
      <c r="O103" s="3">
        <v>500</v>
      </c>
      <c r="P103" s="3">
        <v>600</v>
      </c>
      <c r="Q103" s="3">
        <v>56.5</v>
      </c>
      <c r="R103" s="3">
        <v>0</v>
      </c>
      <c r="S103" s="3">
        <v>-3.6999999999999998E-2</v>
      </c>
      <c r="T103" s="3">
        <v>1</v>
      </c>
      <c r="U103" s="3">
        <v>0</v>
      </c>
      <c r="V103" s="3">
        <v>0</v>
      </c>
      <c r="W103" s="3">
        <v>0</v>
      </c>
      <c r="X103" s="3">
        <v>0</v>
      </c>
      <c r="Y103" s="3">
        <v>0</v>
      </c>
      <c r="Z103" s="3">
        <v>0</v>
      </c>
      <c r="AA103" s="3">
        <v>0</v>
      </c>
      <c r="AB103" s="3">
        <v>0</v>
      </c>
      <c r="AC103" s="3">
        <v>0</v>
      </c>
      <c r="AD103" s="3">
        <v>0</v>
      </c>
      <c r="AE103" s="3">
        <v>0</v>
      </c>
      <c r="AF103" s="3">
        <v>0</v>
      </c>
    </row>
    <row r="104" spans="8:32" x14ac:dyDescent="0.35">
      <c r="H104" s="3" t="str">
        <v>S</v>
      </c>
      <c r="I104" s="3" t="str">
        <v>Sulphur</v>
      </c>
      <c r="J104" s="3" t="str">
        <v>Liquid</v>
      </c>
      <c r="K104" s="3" t="str">
        <v/>
      </c>
      <c r="L104" s="3" t="str">
        <v/>
      </c>
      <c r="M104" s="3">
        <v>1721</v>
      </c>
      <c r="N104" s="3">
        <v>388.36</v>
      </c>
      <c r="O104" s="3">
        <v>600</v>
      </c>
      <c r="P104" s="3">
        <v>800</v>
      </c>
      <c r="Q104" s="3">
        <v>42.1</v>
      </c>
      <c r="R104" s="3">
        <v>0</v>
      </c>
      <c r="S104" s="3">
        <v>-1.2999999999999999E-2</v>
      </c>
      <c r="T104" s="3">
        <v>1</v>
      </c>
      <c r="U104" s="3">
        <v>0</v>
      </c>
      <c r="V104" s="3">
        <v>0</v>
      </c>
      <c r="W104" s="3">
        <v>0</v>
      </c>
      <c r="X104" s="3">
        <v>0</v>
      </c>
      <c r="Y104" s="3">
        <v>0</v>
      </c>
      <c r="Z104" s="3">
        <v>0</v>
      </c>
      <c r="AA104" s="3">
        <v>0</v>
      </c>
      <c r="AB104" s="3">
        <v>0</v>
      </c>
      <c r="AC104" s="3">
        <v>0</v>
      </c>
      <c r="AD104" s="3">
        <v>0</v>
      </c>
      <c r="AE104" s="3">
        <v>0</v>
      </c>
      <c r="AF104" s="3">
        <v>0</v>
      </c>
    </row>
    <row r="105" spans="8:32" x14ac:dyDescent="0.35">
      <c r="H105" s="3" t="str">
        <v>S</v>
      </c>
      <c r="I105" s="3" t="str">
        <v>Sulphur</v>
      </c>
      <c r="J105" s="3" t="str">
        <v>Liquid</v>
      </c>
      <c r="K105" s="3" t="str">
        <v/>
      </c>
      <c r="L105" s="3" t="str">
        <v/>
      </c>
      <c r="M105" s="3">
        <v>1721</v>
      </c>
      <c r="N105" s="3">
        <v>388.36</v>
      </c>
      <c r="O105" s="3">
        <v>800</v>
      </c>
      <c r="P105" s="3">
        <v>1500</v>
      </c>
      <c r="Q105" s="3">
        <v>31.655000000000001</v>
      </c>
      <c r="R105" s="3">
        <v>0</v>
      </c>
      <c r="S105" s="3">
        <v>0</v>
      </c>
      <c r="T105" s="3">
        <v>0</v>
      </c>
      <c r="U105" s="3">
        <v>0</v>
      </c>
      <c r="V105" s="3">
        <v>0</v>
      </c>
      <c r="W105" s="3">
        <v>0</v>
      </c>
      <c r="X105" s="3">
        <v>0</v>
      </c>
      <c r="Y105" s="3">
        <v>0</v>
      </c>
      <c r="Z105" s="3">
        <v>0</v>
      </c>
      <c r="AA105" s="3">
        <v>0</v>
      </c>
      <c r="AB105" s="3">
        <v>0</v>
      </c>
      <c r="AC105" s="3">
        <v>0</v>
      </c>
      <c r="AD105" s="3">
        <v>0</v>
      </c>
      <c r="AE105" s="3">
        <v>0</v>
      </c>
      <c r="AF105" s="3">
        <v>0</v>
      </c>
    </row>
    <row r="106" spans="8:32" x14ac:dyDescent="0.35">
      <c r="H106" s="3" t="str">
        <v>S</v>
      </c>
      <c r="I106" s="3" t="str">
        <v>Sulphur</v>
      </c>
      <c r="J106" s="3" t="str">
        <v>Gas</v>
      </c>
      <c r="K106" s="3">
        <v>276980</v>
      </c>
      <c r="L106" s="3">
        <v>167.828</v>
      </c>
      <c r="M106" s="3" t="str">
        <v/>
      </c>
      <c r="N106" s="3" t="str">
        <v/>
      </c>
      <c r="O106" s="3">
        <v>298.14999999999998</v>
      </c>
      <c r="P106" s="3">
        <v>2300</v>
      </c>
      <c r="Q106" s="3">
        <v>18.6953508050672</v>
      </c>
      <c r="R106" s="3">
        <v>0</v>
      </c>
      <c r="S106" s="3">
        <v>3.7760107803689003E-4</v>
      </c>
      <c r="T106" s="3">
        <v>1</v>
      </c>
      <c r="U106" s="3">
        <v>-342100.22524765902</v>
      </c>
      <c r="V106" s="3">
        <v>-2</v>
      </c>
      <c r="W106" s="3">
        <v>1.54311098857524E-7</v>
      </c>
      <c r="X106" s="3">
        <v>2</v>
      </c>
      <c r="Y106" s="3">
        <v>2595.48743251116</v>
      </c>
      <c r="Z106" s="3">
        <v>-1</v>
      </c>
      <c r="AA106" s="3">
        <v>0</v>
      </c>
      <c r="AB106" s="3">
        <v>0</v>
      </c>
      <c r="AC106" s="3">
        <v>0</v>
      </c>
      <c r="AD106" s="3">
        <v>0</v>
      </c>
      <c r="AE106" s="3">
        <v>0</v>
      </c>
      <c r="AF106" s="3">
        <v>0</v>
      </c>
    </row>
    <row r="107" spans="8:32" x14ac:dyDescent="0.35">
      <c r="H107" s="3" t="str">
        <v>Cl2</v>
      </c>
      <c r="I107" s="3" t="str">
        <v>Chlorine</v>
      </c>
      <c r="J107" s="3" t="str">
        <v>Gas</v>
      </c>
      <c r="K107" s="3">
        <v>0</v>
      </c>
      <c r="L107" s="3">
        <v>222.9695629</v>
      </c>
      <c r="M107" s="3" t="str">
        <v/>
      </c>
      <c r="N107" s="3" t="str">
        <v/>
      </c>
      <c r="O107" s="3">
        <v>298.14999999999998</v>
      </c>
      <c r="P107" s="3">
        <v>1600</v>
      </c>
      <c r="Q107" s="3">
        <v>20.680766544471201</v>
      </c>
      <c r="R107" s="3">
        <v>0</v>
      </c>
      <c r="S107" s="3">
        <v>316713.292953672</v>
      </c>
      <c r="T107" s="3">
        <v>-2</v>
      </c>
      <c r="U107" s="3">
        <v>0.191057669572779</v>
      </c>
      <c r="V107" s="3">
        <v>0.5</v>
      </c>
      <c r="W107" s="3">
        <v>591.261219619901</v>
      </c>
      <c r="X107" s="3">
        <v>-0.5</v>
      </c>
      <c r="Y107" s="3">
        <v>-8299.3703596511696</v>
      </c>
      <c r="Z107" s="3">
        <v>-1</v>
      </c>
      <c r="AA107" s="3">
        <v>0</v>
      </c>
      <c r="AB107" s="3">
        <v>0</v>
      </c>
      <c r="AC107" s="3">
        <v>0</v>
      </c>
      <c r="AD107" s="3">
        <v>0</v>
      </c>
      <c r="AE107" s="3">
        <v>0</v>
      </c>
      <c r="AF107" s="3">
        <v>0</v>
      </c>
    </row>
    <row r="108" spans="8:32" x14ac:dyDescent="0.35">
      <c r="H108" s="3" t="str">
        <v>Cl2</v>
      </c>
      <c r="I108" s="3" t="str">
        <v>Chlorine</v>
      </c>
      <c r="J108" s="3" t="str">
        <v>Gas</v>
      </c>
      <c r="K108" s="3">
        <v>0</v>
      </c>
      <c r="L108" s="3">
        <v>222.9695629</v>
      </c>
      <c r="M108" s="3" t="str">
        <v/>
      </c>
      <c r="N108" s="3" t="str">
        <v/>
      </c>
      <c r="O108" s="3">
        <v>1600</v>
      </c>
      <c r="P108" s="3">
        <v>3800</v>
      </c>
      <c r="Q108" s="3">
        <v>-6062.5675378837896</v>
      </c>
      <c r="R108" s="3">
        <v>0</v>
      </c>
      <c r="S108" s="3">
        <v>-0.37786287402396701</v>
      </c>
      <c r="T108" s="3">
        <v>1</v>
      </c>
      <c r="U108" s="3">
        <v>514129661.41835099</v>
      </c>
      <c r="V108" s="3">
        <v>-2</v>
      </c>
      <c r="W108" s="3">
        <v>2.9097154540776202E-6</v>
      </c>
      <c r="X108" s="3">
        <v>2</v>
      </c>
      <c r="Y108" s="3">
        <v>75.235272952931595</v>
      </c>
      <c r="Z108" s="3">
        <v>0.5</v>
      </c>
      <c r="AA108" s="3">
        <v>238036.89718650799</v>
      </c>
      <c r="AB108" s="3">
        <v>-0.5</v>
      </c>
      <c r="AC108" s="3">
        <v>-3941479.6296618199</v>
      </c>
      <c r="AD108" s="3">
        <v>-1</v>
      </c>
      <c r="AE108" s="3">
        <v>0</v>
      </c>
      <c r="AF108" s="3">
        <v>0</v>
      </c>
    </row>
    <row r="109" spans="8:32" x14ac:dyDescent="0.35">
      <c r="H109" s="3" t="str">
        <v>Cl2</v>
      </c>
      <c r="I109" s="3" t="str">
        <v>Chlorine</v>
      </c>
      <c r="J109" s="3" t="str">
        <v>Gas</v>
      </c>
      <c r="K109" s="3">
        <v>0</v>
      </c>
      <c r="L109" s="3">
        <v>222.9695629</v>
      </c>
      <c r="M109" s="3" t="str">
        <v/>
      </c>
      <c r="N109" s="3" t="str">
        <v/>
      </c>
      <c r="O109" s="3">
        <v>3800</v>
      </c>
      <c r="P109" s="3">
        <v>6000</v>
      </c>
      <c r="Q109" s="3">
        <v>-1734.59759347982</v>
      </c>
      <c r="R109" s="3">
        <v>0</v>
      </c>
      <c r="S109" s="3">
        <v>2819660423.1255898</v>
      </c>
      <c r="T109" s="3">
        <v>-2</v>
      </c>
      <c r="U109" s="3">
        <v>6.1515482882545003</v>
      </c>
      <c r="V109" s="3">
        <v>0.5</v>
      </c>
      <c r="W109" s="3">
        <v>173181.70959790301</v>
      </c>
      <c r="X109" s="3">
        <v>-0.5</v>
      </c>
      <c r="Y109" s="3">
        <v>-6110513.9404378496</v>
      </c>
      <c r="Z109" s="3">
        <v>-1</v>
      </c>
      <c r="AA109" s="3">
        <v>0</v>
      </c>
      <c r="AB109" s="3">
        <v>0</v>
      </c>
      <c r="AC109" s="3">
        <v>0</v>
      </c>
      <c r="AD109" s="3">
        <v>0</v>
      </c>
      <c r="AE109" s="3">
        <v>0</v>
      </c>
      <c r="AF109" s="3">
        <v>0</v>
      </c>
    </row>
    <row r="110" spans="8:32" x14ac:dyDescent="0.35">
      <c r="H110" s="3" t="str">
        <v>Cl2</v>
      </c>
      <c r="I110" s="3" t="str">
        <v>Chlorine</v>
      </c>
      <c r="J110" s="3" t="str">
        <v>aqueous</v>
      </c>
      <c r="K110" s="3">
        <v>-23430.400000000001</v>
      </c>
      <c r="L110" s="3">
        <v>121.336</v>
      </c>
      <c r="M110" s="3" t="str">
        <v/>
      </c>
      <c r="N110" s="3" t="str">
        <v/>
      </c>
      <c r="O110" s="3">
        <v>298.14999999999998</v>
      </c>
      <c r="P110" s="3">
        <v>298.14999999999998</v>
      </c>
      <c r="Q110" s="3">
        <v>0</v>
      </c>
      <c r="R110" s="3">
        <v>0</v>
      </c>
      <c r="S110" s="3">
        <v>0</v>
      </c>
      <c r="T110" s="3">
        <v>0</v>
      </c>
      <c r="U110" s="3">
        <v>0</v>
      </c>
      <c r="V110" s="3">
        <v>0</v>
      </c>
      <c r="W110" s="3">
        <v>0</v>
      </c>
      <c r="X110" s="3">
        <v>0</v>
      </c>
      <c r="Y110" s="3">
        <v>0</v>
      </c>
      <c r="Z110" s="3">
        <v>0</v>
      </c>
      <c r="AA110" s="3">
        <v>0</v>
      </c>
      <c r="AB110" s="3">
        <v>0</v>
      </c>
      <c r="AC110" s="3">
        <v>0</v>
      </c>
      <c r="AD110" s="3">
        <v>0</v>
      </c>
      <c r="AE110" s="3">
        <v>0</v>
      </c>
      <c r="AF110" s="3">
        <v>0</v>
      </c>
    </row>
    <row r="111" spans="8:32" x14ac:dyDescent="0.35">
      <c r="H111" s="3" t="str">
        <v>Ar</v>
      </c>
      <c r="I111" s="3" t="str">
        <v>Argon</v>
      </c>
      <c r="J111" s="3" t="str">
        <v>Gas-1</v>
      </c>
      <c r="K111" s="3">
        <v>0</v>
      </c>
      <c r="L111" s="3">
        <v>154.845</v>
      </c>
      <c r="M111" s="3" t="str">
        <v/>
      </c>
      <c r="N111" s="3" t="str">
        <v/>
      </c>
      <c r="O111" s="3">
        <v>298.14999999999998</v>
      </c>
      <c r="P111" s="3">
        <v>6000</v>
      </c>
      <c r="Q111" s="3">
        <v>20.786000000000001</v>
      </c>
      <c r="R111" s="3">
        <v>0</v>
      </c>
      <c r="S111" s="3">
        <v>0</v>
      </c>
      <c r="T111" s="3">
        <v>0</v>
      </c>
      <c r="U111" s="3">
        <v>0</v>
      </c>
      <c r="V111" s="3">
        <v>0</v>
      </c>
      <c r="W111" s="3">
        <v>0</v>
      </c>
      <c r="X111" s="3">
        <v>0</v>
      </c>
      <c r="Y111" s="3">
        <v>0</v>
      </c>
      <c r="Z111" s="3">
        <v>0</v>
      </c>
      <c r="AA111" s="3">
        <v>0</v>
      </c>
      <c r="AB111" s="3">
        <v>0</v>
      </c>
      <c r="AC111" s="3">
        <v>0</v>
      </c>
      <c r="AD111" s="3">
        <v>0</v>
      </c>
      <c r="AE111" s="3">
        <v>0</v>
      </c>
      <c r="AF111" s="3">
        <v>0</v>
      </c>
    </row>
    <row r="112" spans="8:32" x14ac:dyDescent="0.35">
      <c r="H112" s="3" t="str">
        <v>Ar</v>
      </c>
      <c r="I112" s="3" t="str">
        <v>Argon</v>
      </c>
      <c r="J112" s="3" t="str">
        <v>Aqueous</v>
      </c>
      <c r="K112" s="3">
        <v>-12134</v>
      </c>
      <c r="L112" s="3">
        <v>59.412999999999997</v>
      </c>
      <c r="M112" s="3" t="str">
        <v/>
      </c>
      <c r="N112" s="3" t="str">
        <v/>
      </c>
      <c r="O112" s="3">
        <v>298.14999999999998</v>
      </c>
      <c r="P112" s="3">
        <v>298.14999999999998</v>
      </c>
      <c r="Q112" s="3">
        <v>0</v>
      </c>
      <c r="R112" s="3">
        <v>0</v>
      </c>
      <c r="S112" s="3">
        <v>0</v>
      </c>
      <c r="T112" s="3">
        <v>0</v>
      </c>
      <c r="U112" s="3">
        <v>0</v>
      </c>
      <c r="V112" s="3">
        <v>0</v>
      </c>
      <c r="W112" s="3">
        <v>0</v>
      </c>
      <c r="X112" s="3">
        <v>0</v>
      </c>
      <c r="Y112" s="3">
        <v>0</v>
      </c>
      <c r="Z112" s="3">
        <v>0</v>
      </c>
      <c r="AA112" s="3">
        <v>0</v>
      </c>
      <c r="AB112" s="3">
        <v>0</v>
      </c>
      <c r="AC112" s="3">
        <v>0</v>
      </c>
      <c r="AD112" s="3">
        <v>0</v>
      </c>
      <c r="AE112" s="3">
        <v>0</v>
      </c>
      <c r="AF112" s="3">
        <v>0</v>
      </c>
    </row>
    <row r="113" spans="8:32" x14ac:dyDescent="0.35">
      <c r="H113" s="3" t="str">
        <v>K</v>
      </c>
      <c r="I113" s="3" t="str">
        <v>Potassium</v>
      </c>
      <c r="J113" s="3" t="str">
        <v>Solid-1</v>
      </c>
      <c r="K113" s="3">
        <v>0</v>
      </c>
      <c r="L113" s="3">
        <v>64.67</v>
      </c>
      <c r="M113" s="3" t="str">
        <v/>
      </c>
      <c r="N113" s="3" t="str">
        <v/>
      </c>
      <c r="O113" s="3">
        <v>298.14999999999998</v>
      </c>
      <c r="P113" s="3">
        <v>400</v>
      </c>
      <c r="Q113" s="3">
        <v>2842.06373867412</v>
      </c>
      <c r="R113" s="3">
        <v>0</v>
      </c>
      <c r="S113" s="3">
        <v>-2.4026374048690098</v>
      </c>
      <c r="T113" s="3">
        <v>1</v>
      </c>
      <c r="U113" s="3">
        <v>124736654.874717</v>
      </c>
      <c r="V113" s="3">
        <v>-2</v>
      </c>
      <c r="W113" s="3">
        <v>-1043329.58849091</v>
      </c>
      <c r="X113" s="3">
        <v>-1</v>
      </c>
      <c r="Y113" s="3">
        <v>0</v>
      </c>
      <c r="Z113" s="3">
        <v>0</v>
      </c>
      <c r="AA113" s="3">
        <v>0</v>
      </c>
      <c r="AB113" s="3">
        <v>0</v>
      </c>
      <c r="AC113" s="3">
        <v>0</v>
      </c>
      <c r="AD113" s="3">
        <v>0</v>
      </c>
      <c r="AE113" s="3">
        <v>0</v>
      </c>
      <c r="AF113" s="3">
        <v>0</v>
      </c>
    </row>
    <row r="114" spans="8:32" x14ac:dyDescent="0.35">
      <c r="H114" s="3" t="str">
        <v>K</v>
      </c>
      <c r="I114" s="3" t="str">
        <v>Potassium</v>
      </c>
      <c r="J114" s="3" t="str">
        <v>Solid-1</v>
      </c>
      <c r="K114" s="3">
        <v>0</v>
      </c>
      <c r="L114" s="3">
        <v>64.67</v>
      </c>
      <c r="M114" s="3" t="str">
        <v/>
      </c>
      <c r="N114" s="3" t="str">
        <v/>
      </c>
      <c r="O114" s="3">
        <v>400</v>
      </c>
      <c r="P114" s="3">
        <v>1039.5</v>
      </c>
      <c r="Q114" s="3">
        <v>44.375753899999999</v>
      </c>
      <c r="R114" s="3">
        <v>0</v>
      </c>
      <c r="S114" s="3">
        <v>-2.6805171900000001E-2</v>
      </c>
      <c r="T114" s="3">
        <v>1</v>
      </c>
      <c r="U114" s="3">
        <v>399395.70799999998</v>
      </c>
      <c r="V114" s="3">
        <v>-2</v>
      </c>
      <c r="W114" s="3">
        <v>1.52339643E-5</v>
      </c>
      <c r="X114" s="3">
        <v>2</v>
      </c>
      <c r="Y114" s="3">
        <v>-2842.2592</v>
      </c>
      <c r="Z114" s="3">
        <v>-1</v>
      </c>
      <c r="AA114" s="3">
        <v>0</v>
      </c>
      <c r="AB114" s="3">
        <v>0</v>
      </c>
      <c r="AC114" s="3">
        <v>0</v>
      </c>
      <c r="AD114" s="3">
        <v>0</v>
      </c>
      <c r="AE114" s="3">
        <v>0</v>
      </c>
      <c r="AF114" s="3">
        <v>0</v>
      </c>
    </row>
    <row r="115" spans="8:32" x14ac:dyDescent="0.35">
      <c r="H115" s="3" t="str">
        <v>K</v>
      </c>
      <c r="I115" s="3" t="str">
        <v>Potassium</v>
      </c>
      <c r="J115" s="3" t="str">
        <v>Solid-1</v>
      </c>
      <c r="K115" s="3">
        <v>0</v>
      </c>
      <c r="L115" s="3">
        <v>64.67</v>
      </c>
      <c r="M115" s="3" t="str">
        <v/>
      </c>
      <c r="N115" s="3" t="str">
        <v/>
      </c>
      <c r="O115" s="3">
        <v>1039.5</v>
      </c>
      <c r="P115" s="3">
        <v>1500</v>
      </c>
      <c r="Q115" s="3">
        <v>17.4454025</v>
      </c>
      <c r="R115" s="3">
        <v>0</v>
      </c>
      <c r="S115" s="3">
        <v>1.08869833E-2</v>
      </c>
      <c r="T115" s="3">
        <v>1</v>
      </c>
      <c r="U115" s="3">
        <v>1994620.59</v>
      </c>
      <c r="V115" s="3">
        <v>-2</v>
      </c>
      <c r="W115" s="3">
        <v>0</v>
      </c>
      <c r="X115" s="3">
        <v>0</v>
      </c>
      <c r="Y115" s="3">
        <v>0</v>
      </c>
      <c r="Z115" s="3">
        <v>0</v>
      </c>
      <c r="AA115" s="3">
        <v>0</v>
      </c>
      <c r="AB115" s="3">
        <v>0</v>
      </c>
      <c r="AC115" s="3">
        <v>0</v>
      </c>
      <c r="AD115" s="3">
        <v>0</v>
      </c>
      <c r="AE115" s="3">
        <v>0</v>
      </c>
      <c r="AF115" s="3">
        <v>0</v>
      </c>
    </row>
    <row r="116" spans="8:32" x14ac:dyDescent="0.35">
      <c r="H116" s="3" t="str">
        <v>K</v>
      </c>
      <c r="I116" s="3" t="str">
        <v>Potassium</v>
      </c>
      <c r="J116" s="3" t="str">
        <v>Solid-1</v>
      </c>
      <c r="K116" s="3">
        <v>0</v>
      </c>
      <c r="L116" s="3">
        <v>64.67</v>
      </c>
      <c r="M116" s="3" t="str">
        <v/>
      </c>
      <c r="N116" s="3" t="str">
        <v/>
      </c>
      <c r="O116" s="3">
        <v>1500</v>
      </c>
      <c r="P116" s="3">
        <v>1501</v>
      </c>
      <c r="Q116" s="3">
        <v>22</v>
      </c>
      <c r="R116" s="3">
        <v>0</v>
      </c>
      <c r="S116" s="3">
        <v>0</v>
      </c>
      <c r="T116" s="3">
        <v>0</v>
      </c>
      <c r="U116" s="3">
        <v>0</v>
      </c>
      <c r="V116" s="3">
        <v>0</v>
      </c>
      <c r="W116" s="3">
        <v>0</v>
      </c>
      <c r="X116" s="3">
        <v>0</v>
      </c>
      <c r="Y116" s="3">
        <v>0</v>
      </c>
      <c r="Z116" s="3">
        <v>0</v>
      </c>
      <c r="AA116" s="3">
        <v>0</v>
      </c>
      <c r="AB116" s="3">
        <v>0</v>
      </c>
      <c r="AC116" s="3">
        <v>0</v>
      </c>
      <c r="AD116" s="3">
        <v>0</v>
      </c>
      <c r="AE116" s="3">
        <v>0</v>
      </c>
      <c r="AF116" s="3">
        <v>0</v>
      </c>
    </row>
    <row r="117" spans="8:32" x14ac:dyDescent="0.35">
      <c r="H117" s="3" t="str">
        <v>K</v>
      </c>
      <c r="I117" s="3" t="str">
        <v>Potassium</v>
      </c>
      <c r="J117" s="3" t="str">
        <v>Liquid-1</v>
      </c>
      <c r="K117" s="3" t="str">
        <v/>
      </c>
      <c r="L117" s="3" t="str">
        <v/>
      </c>
      <c r="M117" s="3">
        <v>2334</v>
      </c>
      <c r="N117" s="3">
        <v>336.35</v>
      </c>
      <c r="O117" s="3">
        <v>298.14999999999998</v>
      </c>
      <c r="P117" s="3">
        <v>1039.54</v>
      </c>
      <c r="Q117" s="3">
        <v>44.375753938695198</v>
      </c>
      <c r="R117" s="3">
        <v>0</v>
      </c>
      <c r="S117" s="3">
        <v>-2.68051719242824E-2</v>
      </c>
      <c r="T117" s="3">
        <v>1</v>
      </c>
      <c r="U117" s="3">
        <v>399395.70750185498</v>
      </c>
      <c r="V117" s="3">
        <v>-2</v>
      </c>
      <c r="W117" s="3">
        <v>1.52339642831882E-5</v>
      </c>
      <c r="X117" s="3">
        <v>2</v>
      </c>
      <c r="Y117" s="3">
        <v>-2842.2591964712301</v>
      </c>
      <c r="Z117" s="3">
        <v>-1</v>
      </c>
      <c r="AA117" s="3">
        <v>0</v>
      </c>
      <c r="AB117" s="3">
        <v>0</v>
      </c>
      <c r="AC117" s="3">
        <v>0</v>
      </c>
      <c r="AD117" s="3">
        <v>0</v>
      </c>
      <c r="AE117" s="3">
        <v>0</v>
      </c>
      <c r="AF117" s="3">
        <v>0</v>
      </c>
    </row>
    <row r="118" spans="8:32" x14ac:dyDescent="0.35">
      <c r="H118" s="3" t="str">
        <v>K</v>
      </c>
      <c r="I118" s="3" t="str">
        <v>Potassium</v>
      </c>
      <c r="J118" s="3" t="str">
        <v>Liquid-1</v>
      </c>
      <c r="K118" s="3" t="str">
        <v/>
      </c>
      <c r="L118" s="3" t="str">
        <v/>
      </c>
      <c r="M118" s="3">
        <v>2334</v>
      </c>
      <c r="N118" s="3">
        <v>336.35</v>
      </c>
      <c r="O118" s="3">
        <v>1039.54</v>
      </c>
      <c r="P118" s="3">
        <v>1500</v>
      </c>
      <c r="Q118" s="3">
        <v>17.445402526159398</v>
      </c>
      <c r="R118" s="3">
        <v>0</v>
      </c>
      <c r="S118" s="3">
        <v>1.0886983297391E-2</v>
      </c>
      <c r="T118" s="3">
        <v>1</v>
      </c>
      <c r="U118" s="3">
        <v>1994620.58779498</v>
      </c>
      <c r="V118" s="3">
        <v>-2</v>
      </c>
      <c r="W118" s="3">
        <v>0</v>
      </c>
      <c r="X118" s="3">
        <v>0</v>
      </c>
      <c r="Y118" s="3">
        <v>0</v>
      </c>
      <c r="Z118" s="3">
        <v>0</v>
      </c>
      <c r="AA118" s="3">
        <v>0</v>
      </c>
      <c r="AB118" s="3">
        <v>0</v>
      </c>
      <c r="AC118" s="3">
        <v>0</v>
      </c>
      <c r="AD118" s="3">
        <v>0</v>
      </c>
      <c r="AE118" s="3">
        <v>0</v>
      </c>
      <c r="AF118" s="3">
        <v>0</v>
      </c>
    </row>
    <row r="119" spans="8:32" x14ac:dyDescent="0.35">
      <c r="H119" s="3" t="str">
        <v>K</v>
      </c>
      <c r="I119" s="3" t="str">
        <v>Potassium</v>
      </c>
      <c r="J119" s="3" t="str">
        <v>Liquid-1</v>
      </c>
      <c r="K119" s="3" t="str">
        <v/>
      </c>
      <c r="L119" s="3" t="str">
        <v/>
      </c>
      <c r="M119" s="3">
        <v>2334</v>
      </c>
      <c r="N119" s="3">
        <v>336.35</v>
      </c>
      <c r="O119" s="3">
        <v>1500</v>
      </c>
      <c r="P119" s="3">
        <v>1501</v>
      </c>
      <c r="Q119" s="3">
        <v>22</v>
      </c>
      <c r="R119" s="3">
        <v>0</v>
      </c>
      <c r="S119" s="3">
        <v>0</v>
      </c>
      <c r="T119" s="3">
        <v>0</v>
      </c>
      <c r="U119" s="3">
        <v>0</v>
      </c>
      <c r="V119" s="3">
        <v>0</v>
      </c>
      <c r="W119" s="3">
        <v>0</v>
      </c>
      <c r="X119" s="3">
        <v>0</v>
      </c>
      <c r="Y119" s="3">
        <v>0</v>
      </c>
      <c r="Z119" s="3">
        <v>0</v>
      </c>
      <c r="AA119" s="3">
        <v>0</v>
      </c>
      <c r="AB119" s="3">
        <v>0</v>
      </c>
      <c r="AC119" s="3">
        <v>0</v>
      </c>
      <c r="AD119" s="3">
        <v>0</v>
      </c>
      <c r="AE119" s="3">
        <v>0</v>
      </c>
      <c r="AF119" s="3">
        <v>0</v>
      </c>
    </row>
    <row r="120" spans="8:32" x14ac:dyDescent="0.35">
      <c r="H120" s="3" t="str">
        <v>K</v>
      </c>
      <c r="I120" s="3" t="str">
        <v>Potassium</v>
      </c>
      <c r="J120" s="3" t="str">
        <v>Gas-1</v>
      </c>
      <c r="K120" s="3">
        <v>89000</v>
      </c>
      <c r="L120" s="3">
        <v>160.34</v>
      </c>
      <c r="M120" s="3" t="str">
        <v/>
      </c>
      <c r="N120" s="3" t="str">
        <v/>
      </c>
      <c r="O120" s="3">
        <v>298.14999999999998</v>
      </c>
      <c r="P120" s="3">
        <v>1900</v>
      </c>
      <c r="Q120" s="3">
        <v>20.707963396633598</v>
      </c>
      <c r="R120" s="3">
        <v>0</v>
      </c>
      <c r="S120" s="3">
        <v>7.6779709947146201E-5</v>
      </c>
      <c r="T120" s="3">
        <v>1</v>
      </c>
      <c r="U120" s="3">
        <v>5916.1825383761197</v>
      </c>
      <c r="V120" s="3">
        <v>-2</v>
      </c>
      <c r="W120" s="3">
        <v>0</v>
      </c>
      <c r="X120" s="3">
        <v>0</v>
      </c>
      <c r="Y120" s="3">
        <v>0</v>
      </c>
      <c r="Z120" s="3">
        <v>0</v>
      </c>
      <c r="AA120" s="3">
        <v>0</v>
      </c>
      <c r="AB120" s="3">
        <v>0</v>
      </c>
      <c r="AC120" s="3">
        <v>0</v>
      </c>
      <c r="AD120" s="3">
        <v>0</v>
      </c>
      <c r="AE120" s="3">
        <v>0</v>
      </c>
      <c r="AF120" s="3">
        <v>0</v>
      </c>
    </row>
    <row r="121" spans="8:32" x14ac:dyDescent="0.35">
      <c r="H121" s="3" t="str">
        <v>K</v>
      </c>
      <c r="I121" s="3" t="str">
        <v>Potassium</v>
      </c>
      <c r="J121" s="3" t="str">
        <v>Gas-1</v>
      </c>
      <c r="K121" s="3">
        <v>89000</v>
      </c>
      <c r="L121" s="3">
        <v>160.34</v>
      </c>
      <c r="M121" s="3" t="str">
        <v/>
      </c>
      <c r="N121" s="3" t="str">
        <v/>
      </c>
      <c r="O121" s="3">
        <v>1900</v>
      </c>
      <c r="P121" s="3">
        <v>4300</v>
      </c>
      <c r="Q121" s="3">
        <v>-648.43594285136498</v>
      </c>
      <c r="R121" s="3">
        <v>0</v>
      </c>
      <c r="S121" s="3">
        <v>3.7724487318800702E-2</v>
      </c>
      <c r="T121" s="3">
        <v>1</v>
      </c>
      <c r="U121" s="3">
        <v>327221723.14297801</v>
      </c>
      <c r="V121" s="3">
        <v>-2</v>
      </c>
      <c r="W121" s="3">
        <v>-1384080.47589447</v>
      </c>
      <c r="X121" s="3">
        <v>-1</v>
      </c>
      <c r="Y121" s="3">
        <v>53851.370677163599</v>
      </c>
      <c r="Z121" s="3">
        <v>-0.5</v>
      </c>
      <c r="AA121" s="3">
        <v>0</v>
      </c>
      <c r="AB121" s="3">
        <v>0</v>
      </c>
      <c r="AC121" s="3">
        <v>0</v>
      </c>
      <c r="AD121" s="3">
        <v>0</v>
      </c>
      <c r="AE121" s="3">
        <v>0</v>
      </c>
      <c r="AF121" s="3">
        <v>0</v>
      </c>
    </row>
    <row r="122" spans="8:32" x14ac:dyDescent="0.35">
      <c r="H122" s="3" t="str">
        <v>K</v>
      </c>
      <c r="I122" s="3" t="str">
        <v>Potassium</v>
      </c>
      <c r="J122" s="3" t="str">
        <v>Gas-1</v>
      </c>
      <c r="K122" s="3">
        <v>89000</v>
      </c>
      <c r="L122" s="3">
        <v>160.34</v>
      </c>
      <c r="M122" s="3" t="str">
        <v/>
      </c>
      <c r="N122" s="3" t="str">
        <v/>
      </c>
      <c r="O122" s="3">
        <v>4300</v>
      </c>
      <c r="P122" s="3">
        <v>6000</v>
      </c>
      <c r="Q122" s="3">
        <v>-65.78716</v>
      </c>
      <c r="R122" s="3">
        <v>0</v>
      </c>
      <c r="S122" s="3">
        <v>2.5296389999999998E-2</v>
      </c>
      <c r="T122" s="3">
        <v>1</v>
      </c>
      <c r="U122" s="3">
        <v>-1.5530979999999999E-6</v>
      </c>
      <c r="V122" s="3">
        <v>2</v>
      </c>
      <c r="W122" s="3">
        <v>264637200</v>
      </c>
      <c r="X122" s="3">
        <v>-2</v>
      </c>
      <c r="Y122" s="3">
        <v>0</v>
      </c>
      <c r="Z122" s="3">
        <v>0</v>
      </c>
      <c r="AA122" s="3">
        <v>0</v>
      </c>
      <c r="AB122" s="3">
        <v>0</v>
      </c>
      <c r="AC122" s="3">
        <v>0</v>
      </c>
      <c r="AD122" s="3">
        <v>0</v>
      </c>
      <c r="AE122" s="3">
        <v>0</v>
      </c>
      <c r="AF122" s="3">
        <v>0</v>
      </c>
    </row>
    <row r="123" spans="8:32" x14ac:dyDescent="0.35">
      <c r="H123" s="3" t="str">
        <v>Ca</v>
      </c>
      <c r="I123" s="3" t="str">
        <v>Calcium</v>
      </c>
      <c r="J123" s="3" t="str">
        <v>Solid Alpha</v>
      </c>
      <c r="K123" s="3">
        <v>0</v>
      </c>
      <c r="L123" s="3">
        <v>41.588000000000001</v>
      </c>
      <c r="M123" s="3" t="str">
        <v/>
      </c>
      <c r="N123" s="3" t="str">
        <v/>
      </c>
      <c r="O123" s="3">
        <v>298.14999999999998</v>
      </c>
      <c r="P123" s="3">
        <v>1100</v>
      </c>
      <c r="Q123" s="3">
        <v>7.2407205089406199</v>
      </c>
      <c r="R123" s="3">
        <v>0</v>
      </c>
      <c r="S123" s="3">
        <v>3.1758453235403397E-2</v>
      </c>
      <c r="T123" s="3">
        <v>1</v>
      </c>
      <c r="U123" s="3">
        <v>-179428.17874265401</v>
      </c>
      <c r="V123" s="3">
        <v>-2</v>
      </c>
      <c r="W123" s="3">
        <v>-3.2333634023738001E-6</v>
      </c>
      <c r="X123" s="3">
        <v>2</v>
      </c>
      <c r="Y123" s="3">
        <v>3437.1205618642398</v>
      </c>
      <c r="Z123" s="3">
        <v>-1</v>
      </c>
      <c r="AA123" s="3">
        <v>0</v>
      </c>
      <c r="AB123" s="3">
        <v>0</v>
      </c>
      <c r="AC123" s="3">
        <v>0</v>
      </c>
      <c r="AD123" s="3">
        <v>0</v>
      </c>
      <c r="AE123" s="3">
        <v>0</v>
      </c>
      <c r="AF123" s="3">
        <v>0</v>
      </c>
    </row>
    <row r="124" spans="8:32" x14ac:dyDescent="0.35">
      <c r="H124" s="3" t="str">
        <v>Ca</v>
      </c>
      <c r="I124" s="3" t="str">
        <v>Calcium</v>
      </c>
      <c r="J124" s="3" t="str">
        <v>Solid Alpha</v>
      </c>
      <c r="K124" s="3">
        <v>0</v>
      </c>
      <c r="L124" s="3">
        <v>41.588000000000001</v>
      </c>
      <c r="M124" s="3" t="str">
        <v/>
      </c>
      <c r="N124" s="3" t="str">
        <v/>
      </c>
      <c r="O124" s="3">
        <v>1100</v>
      </c>
      <c r="P124" s="3">
        <v>1500</v>
      </c>
      <c r="Q124" s="3">
        <v>-10.4982656</v>
      </c>
      <c r="R124" s="3">
        <v>0</v>
      </c>
      <c r="S124" s="3">
        <v>3.7809375100000001E-2</v>
      </c>
      <c r="T124" s="3">
        <v>1</v>
      </c>
      <c r="U124" s="3">
        <v>-4461540.09</v>
      </c>
      <c r="V124" s="3">
        <v>-2</v>
      </c>
      <c r="W124" s="3">
        <v>16851.837899999999</v>
      </c>
      <c r="X124" s="3">
        <v>-1</v>
      </c>
      <c r="Y124" s="3">
        <v>0</v>
      </c>
      <c r="Z124" s="3">
        <v>0</v>
      </c>
      <c r="AA124" s="3">
        <v>0</v>
      </c>
      <c r="AB124" s="3">
        <v>0</v>
      </c>
      <c r="AC124" s="3">
        <v>0</v>
      </c>
      <c r="AD124" s="3">
        <v>0</v>
      </c>
      <c r="AE124" s="3">
        <v>0</v>
      </c>
      <c r="AF124" s="3">
        <v>0</v>
      </c>
    </row>
    <row r="125" spans="8:32" x14ac:dyDescent="0.35">
      <c r="H125" s="3" t="str">
        <v>Ca</v>
      </c>
      <c r="I125" s="3" t="str">
        <v>Calcium</v>
      </c>
      <c r="J125" s="3" t="str">
        <v>Solid Alpha</v>
      </c>
      <c r="K125" s="3">
        <v>0</v>
      </c>
      <c r="L125" s="3">
        <v>41.588000000000001</v>
      </c>
      <c r="M125" s="3" t="str">
        <v/>
      </c>
      <c r="N125" s="3" t="str">
        <v/>
      </c>
      <c r="O125" s="3">
        <v>1500</v>
      </c>
      <c r="P125" s="3">
        <v>1501</v>
      </c>
      <c r="Q125" s="3">
        <v>35</v>
      </c>
      <c r="R125" s="3">
        <v>0</v>
      </c>
      <c r="S125" s="3">
        <v>0</v>
      </c>
      <c r="T125" s="3">
        <v>0</v>
      </c>
      <c r="U125" s="3">
        <v>0</v>
      </c>
      <c r="V125" s="3">
        <v>0</v>
      </c>
      <c r="W125" s="3">
        <v>0</v>
      </c>
      <c r="X125" s="3">
        <v>0</v>
      </c>
      <c r="Y125" s="3">
        <v>0</v>
      </c>
      <c r="Z125" s="3">
        <v>0</v>
      </c>
      <c r="AA125" s="3">
        <v>0</v>
      </c>
      <c r="AB125" s="3">
        <v>0</v>
      </c>
      <c r="AC125" s="3">
        <v>0</v>
      </c>
      <c r="AD125" s="3">
        <v>0</v>
      </c>
      <c r="AE125" s="3">
        <v>0</v>
      </c>
      <c r="AF125" s="3">
        <v>0</v>
      </c>
    </row>
    <row r="126" spans="8:32" x14ac:dyDescent="0.35">
      <c r="H126" s="3" t="str">
        <v>Ca</v>
      </c>
      <c r="I126" s="3" t="str">
        <v>Calcium</v>
      </c>
      <c r="J126" s="3" t="str">
        <v>Solid Beta</v>
      </c>
      <c r="K126" s="3" t="str">
        <v/>
      </c>
      <c r="L126" s="3" t="str">
        <v/>
      </c>
      <c r="M126" s="3">
        <v>930</v>
      </c>
      <c r="N126" s="3">
        <v>716</v>
      </c>
      <c r="O126" s="3">
        <v>298.14999999999998</v>
      </c>
      <c r="P126" s="3">
        <v>716</v>
      </c>
      <c r="Q126" s="3">
        <v>42.1936277288751</v>
      </c>
      <c r="R126" s="3">
        <v>0</v>
      </c>
      <c r="S126" s="3">
        <v>1474511.9600811801</v>
      </c>
      <c r="T126" s="3">
        <v>-2</v>
      </c>
      <c r="U126" s="3">
        <v>-9782.9302447313203</v>
      </c>
      <c r="V126" s="3">
        <v>-1</v>
      </c>
      <c r="W126" s="3">
        <v>0</v>
      </c>
      <c r="X126" s="3">
        <v>0</v>
      </c>
      <c r="Y126" s="3">
        <v>0</v>
      </c>
      <c r="Z126" s="3">
        <v>0</v>
      </c>
      <c r="AA126" s="3">
        <v>0</v>
      </c>
      <c r="AB126" s="3">
        <v>0</v>
      </c>
      <c r="AC126" s="3">
        <v>0</v>
      </c>
      <c r="AD126" s="3">
        <v>0</v>
      </c>
      <c r="AE126" s="3">
        <v>0</v>
      </c>
      <c r="AF126" s="3">
        <v>0</v>
      </c>
    </row>
    <row r="127" spans="8:32" x14ac:dyDescent="0.35">
      <c r="H127" s="3" t="str">
        <v>Ca</v>
      </c>
      <c r="I127" s="3" t="str">
        <v>Calcium</v>
      </c>
      <c r="J127" s="3" t="str">
        <v>Solid Beta</v>
      </c>
      <c r="K127" s="3" t="str">
        <v/>
      </c>
      <c r="L127" s="3" t="str">
        <v/>
      </c>
      <c r="M127" s="3">
        <v>930</v>
      </c>
      <c r="N127" s="3">
        <v>716</v>
      </c>
      <c r="O127" s="3">
        <v>716</v>
      </c>
      <c r="P127" s="3">
        <v>1500</v>
      </c>
      <c r="Q127" s="3">
        <v>-10.498265622261799</v>
      </c>
      <c r="R127" s="3">
        <v>0</v>
      </c>
      <c r="S127" s="3">
        <v>3.7809375081924002E-2</v>
      </c>
      <c r="T127" s="3">
        <v>1</v>
      </c>
      <c r="U127" s="3">
        <v>-4461540.0939848199</v>
      </c>
      <c r="V127" s="3">
        <v>-2</v>
      </c>
      <c r="W127" s="3">
        <v>16851.8378971895</v>
      </c>
      <c r="X127" s="3">
        <v>-1</v>
      </c>
      <c r="Y127" s="3">
        <v>0</v>
      </c>
      <c r="Z127" s="3">
        <v>0</v>
      </c>
      <c r="AA127" s="3">
        <v>0</v>
      </c>
      <c r="AB127" s="3">
        <v>0</v>
      </c>
      <c r="AC127" s="3">
        <v>0</v>
      </c>
      <c r="AD127" s="3">
        <v>0</v>
      </c>
      <c r="AE127" s="3">
        <v>0</v>
      </c>
      <c r="AF127" s="3">
        <v>0</v>
      </c>
    </row>
    <row r="128" spans="8:32" x14ac:dyDescent="0.35">
      <c r="H128" s="3" t="str">
        <v>Ca</v>
      </c>
      <c r="I128" s="3" t="str">
        <v>Calcium</v>
      </c>
      <c r="J128" s="3" t="str">
        <v>Solid Beta</v>
      </c>
      <c r="K128" s="3" t="str">
        <v/>
      </c>
      <c r="L128" s="3" t="str">
        <v/>
      </c>
      <c r="M128" s="3">
        <v>930</v>
      </c>
      <c r="N128" s="3">
        <v>716</v>
      </c>
      <c r="O128" s="3">
        <v>1500</v>
      </c>
      <c r="P128" s="3">
        <v>1501</v>
      </c>
      <c r="Q128" s="3">
        <v>35</v>
      </c>
      <c r="R128" s="3">
        <v>0</v>
      </c>
      <c r="S128" s="3">
        <v>0</v>
      </c>
      <c r="T128" s="3">
        <v>0</v>
      </c>
      <c r="U128" s="3">
        <v>0</v>
      </c>
      <c r="V128" s="3">
        <v>0</v>
      </c>
      <c r="W128" s="3">
        <v>0</v>
      </c>
      <c r="X128" s="3">
        <v>0</v>
      </c>
      <c r="Y128" s="3">
        <v>0</v>
      </c>
      <c r="Z128" s="3">
        <v>0</v>
      </c>
      <c r="AA128" s="3">
        <v>0</v>
      </c>
      <c r="AB128" s="3">
        <v>0</v>
      </c>
      <c r="AC128" s="3">
        <v>0</v>
      </c>
      <c r="AD128" s="3">
        <v>0</v>
      </c>
      <c r="AE128" s="3">
        <v>0</v>
      </c>
      <c r="AF128" s="3">
        <v>0</v>
      </c>
    </row>
    <row r="129" spans="8:32" x14ac:dyDescent="0.35">
      <c r="H129" s="3" t="str">
        <v>Ca</v>
      </c>
      <c r="I129" s="3" t="str">
        <v>Calcium</v>
      </c>
      <c r="J129" s="3" t="str">
        <v>Liquid-1</v>
      </c>
      <c r="K129" s="3" t="str">
        <v/>
      </c>
      <c r="L129" s="3" t="str">
        <v/>
      </c>
      <c r="M129" s="3">
        <v>8540</v>
      </c>
      <c r="N129" s="3">
        <v>1115</v>
      </c>
      <c r="O129" s="3">
        <v>298.14999999999998</v>
      </c>
      <c r="P129" s="3">
        <v>2500</v>
      </c>
      <c r="Q129" s="3">
        <v>35</v>
      </c>
      <c r="R129" s="3">
        <v>0</v>
      </c>
      <c r="S129" s="3">
        <v>0</v>
      </c>
      <c r="T129" s="3">
        <v>0</v>
      </c>
      <c r="U129" s="3">
        <v>0</v>
      </c>
      <c r="V129" s="3">
        <v>0</v>
      </c>
      <c r="W129" s="3">
        <v>0</v>
      </c>
      <c r="X129" s="3">
        <v>0</v>
      </c>
      <c r="Y129" s="3">
        <v>0</v>
      </c>
      <c r="Z129" s="3">
        <v>0</v>
      </c>
      <c r="AA129" s="3">
        <v>0</v>
      </c>
      <c r="AB129" s="3">
        <v>0</v>
      </c>
      <c r="AC129" s="3">
        <v>0</v>
      </c>
      <c r="AD129" s="3">
        <v>0</v>
      </c>
      <c r="AE129" s="3">
        <v>0</v>
      </c>
      <c r="AF129" s="3">
        <v>0</v>
      </c>
    </row>
    <row r="130" spans="8:32" x14ac:dyDescent="0.35">
      <c r="H130" s="3" t="str">
        <v>Ca</v>
      </c>
      <c r="I130" s="3" t="str">
        <v>Calcium</v>
      </c>
      <c r="J130" s="3" t="str">
        <v>Gas-1</v>
      </c>
      <c r="K130" s="3">
        <v>177800</v>
      </c>
      <c r="L130" s="3">
        <v>154.886</v>
      </c>
      <c r="M130" s="3" t="str">
        <v/>
      </c>
      <c r="N130" s="3" t="str">
        <v/>
      </c>
      <c r="O130" s="3">
        <v>298.14999999999998</v>
      </c>
      <c r="P130" s="3">
        <v>1773.66</v>
      </c>
      <c r="Q130" s="3">
        <v>20.791789473684201</v>
      </c>
      <c r="R130" s="3">
        <v>0</v>
      </c>
      <c r="S130" s="3">
        <v>0</v>
      </c>
      <c r="T130" s="3">
        <v>0</v>
      </c>
      <c r="U130" s="3">
        <v>0</v>
      </c>
      <c r="V130" s="3">
        <v>0</v>
      </c>
      <c r="W130" s="3">
        <v>0</v>
      </c>
      <c r="X130" s="3">
        <v>0</v>
      </c>
      <c r="Y130" s="3">
        <v>0</v>
      </c>
      <c r="Z130" s="3">
        <v>0</v>
      </c>
      <c r="AA130" s="3">
        <v>0</v>
      </c>
      <c r="AB130" s="3">
        <v>0</v>
      </c>
      <c r="AC130" s="3">
        <v>0</v>
      </c>
      <c r="AD130" s="3">
        <v>0</v>
      </c>
      <c r="AE130" s="3">
        <v>0</v>
      </c>
      <c r="AF130" s="3">
        <v>0</v>
      </c>
    </row>
    <row r="131" spans="8:32" x14ac:dyDescent="0.35">
      <c r="H131" s="3" t="str">
        <v>Ca</v>
      </c>
      <c r="I131" s="3" t="str">
        <v>Calcium</v>
      </c>
      <c r="J131" s="3" t="str">
        <v>Gas-1</v>
      </c>
      <c r="K131" s="3">
        <v>177800</v>
      </c>
      <c r="L131" s="3">
        <v>154.886</v>
      </c>
      <c r="M131" s="3" t="str">
        <v/>
      </c>
      <c r="N131" s="3" t="str">
        <v/>
      </c>
      <c r="O131" s="3">
        <v>1773.66</v>
      </c>
      <c r="P131" s="3">
        <v>4200</v>
      </c>
      <c r="Q131" s="3">
        <v>-2970.5188209555599</v>
      </c>
      <c r="R131" s="3">
        <v>0</v>
      </c>
      <c r="S131" s="3">
        <v>0.244184865142971</v>
      </c>
      <c r="T131" s="3">
        <v>1</v>
      </c>
      <c r="U131" s="3">
        <v>990606190.91488194</v>
      </c>
      <c r="V131" s="3">
        <v>-2</v>
      </c>
      <c r="W131" s="3">
        <v>-1.09605806852234E-5</v>
      </c>
      <c r="X131" s="3">
        <v>2</v>
      </c>
      <c r="Y131" s="3">
        <v>-4984665.0521531301</v>
      </c>
      <c r="Z131" s="3">
        <v>-1</v>
      </c>
      <c r="AA131" s="3">
        <v>214288.02193349999</v>
      </c>
      <c r="AB131" s="3">
        <v>-0.5</v>
      </c>
      <c r="AC131" s="3">
        <v>0</v>
      </c>
      <c r="AD131" s="3">
        <v>0</v>
      </c>
      <c r="AE131" s="3">
        <v>0</v>
      </c>
      <c r="AF131" s="3">
        <v>0</v>
      </c>
    </row>
    <row r="132" spans="8:32" x14ac:dyDescent="0.35">
      <c r="H132" s="3" t="str">
        <v>Ca</v>
      </c>
      <c r="I132" s="3" t="str">
        <v>Calcium</v>
      </c>
      <c r="J132" s="3" t="str">
        <v>Gas-1</v>
      </c>
      <c r="K132" s="3">
        <v>177800</v>
      </c>
      <c r="L132" s="3">
        <v>154.886</v>
      </c>
      <c r="M132" s="3" t="str">
        <v/>
      </c>
      <c r="N132" s="3" t="str">
        <v/>
      </c>
      <c r="O132" s="3">
        <v>4200</v>
      </c>
      <c r="P132" s="3">
        <v>6000</v>
      </c>
      <c r="Q132" s="3">
        <v>592.69950001163204</v>
      </c>
      <c r="R132" s="3">
        <v>0</v>
      </c>
      <c r="S132" s="3">
        <v>-3.2117494314240103E-2</v>
      </c>
      <c r="T132" s="3">
        <v>1</v>
      </c>
      <c r="U132" s="3">
        <v>4028123766.0757298</v>
      </c>
      <c r="V132" s="3">
        <v>-2</v>
      </c>
      <c r="W132" s="3">
        <v>-2724023.30221589</v>
      </c>
      <c r="X132" s="3">
        <v>-1</v>
      </c>
      <c r="Y132" s="3">
        <v>0</v>
      </c>
      <c r="Z132" s="3">
        <v>0</v>
      </c>
      <c r="AA132" s="3">
        <v>0</v>
      </c>
      <c r="AB132" s="3">
        <v>0</v>
      </c>
      <c r="AC132" s="3">
        <v>0</v>
      </c>
      <c r="AD132" s="3">
        <v>0</v>
      </c>
      <c r="AE132" s="3">
        <v>0</v>
      </c>
      <c r="AF132" s="3">
        <v>0</v>
      </c>
    </row>
    <row r="133" spans="8:32" x14ac:dyDescent="0.35">
      <c r="H133" s="3" t="str">
        <v>Sc</v>
      </c>
      <c r="I133" s="3" t="str">
        <v>Scandium</v>
      </c>
      <c r="J133" s="3" t="str">
        <v>Alpha(hex)</v>
      </c>
      <c r="K133" s="3">
        <v>0</v>
      </c>
      <c r="L133" s="3">
        <v>34.643519999999995</v>
      </c>
      <c r="M133" s="3" t="str">
        <v/>
      </c>
      <c r="N133" s="3" t="str">
        <v/>
      </c>
      <c r="O133" s="3">
        <v>298</v>
      </c>
      <c r="P133" s="3">
        <v>500</v>
      </c>
      <c r="Q133" s="3">
        <v>5.6529999999999996</v>
      </c>
      <c r="R133" s="3">
        <v>0</v>
      </c>
      <c r="S133" s="3">
        <v>1.537E-3</v>
      </c>
      <c r="T133" s="3">
        <v>1</v>
      </c>
      <c r="U133" s="3">
        <v>0</v>
      </c>
      <c r="V133" s="3">
        <v>0</v>
      </c>
      <c r="W133" s="3">
        <v>0</v>
      </c>
      <c r="X133" s="3">
        <v>0</v>
      </c>
      <c r="Y133" s="3">
        <v>0</v>
      </c>
      <c r="Z133" s="3">
        <v>0</v>
      </c>
      <c r="AA133" s="3">
        <v>0</v>
      </c>
      <c r="AB133" s="3">
        <v>0</v>
      </c>
      <c r="AC133" s="3">
        <v>0</v>
      </c>
      <c r="AD133" s="3">
        <v>0</v>
      </c>
      <c r="AE133" s="3">
        <v>0</v>
      </c>
      <c r="AF133" s="3">
        <v>0</v>
      </c>
    </row>
    <row r="134" spans="8:32" x14ac:dyDescent="0.35">
      <c r="H134" s="3" t="str">
        <v>Sc</v>
      </c>
      <c r="I134" s="3" t="str">
        <v>Scandium</v>
      </c>
      <c r="J134" s="3" t="str">
        <v>Alpha(hex)</v>
      </c>
      <c r="K134" s="3">
        <v>0</v>
      </c>
      <c r="L134" s="3">
        <v>34.643519999999995</v>
      </c>
      <c r="M134" s="3" t="str">
        <v/>
      </c>
      <c r="N134" s="3" t="str">
        <v/>
      </c>
      <c r="O134" s="3">
        <v>500</v>
      </c>
      <c r="P134" s="3">
        <v>1608</v>
      </c>
      <c r="Q134" s="3">
        <v>5.9089999999999998</v>
      </c>
      <c r="R134" s="3">
        <v>0</v>
      </c>
      <c r="S134" s="3">
        <v>3.28E-4</v>
      </c>
      <c r="T134" s="3">
        <v>1</v>
      </c>
      <c r="U134" s="3">
        <v>8600</v>
      </c>
      <c r="V134" s="3">
        <v>-2</v>
      </c>
      <c r="W134" s="3">
        <v>1.2139999999999999E-6</v>
      </c>
      <c r="X134" s="3">
        <v>2</v>
      </c>
      <c r="Y134" s="3">
        <v>0</v>
      </c>
      <c r="Z134" s="3">
        <v>0</v>
      </c>
      <c r="AA134" s="3">
        <v>0</v>
      </c>
      <c r="AB134" s="3">
        <v>0</v>
      </c>
      <c r="AC134" s="3">
        <v>0</v>
      </c>
      <c r="AD134" s="3">
        <v>0</v>
      </c>
      <c r="AE134" s="3">
        <v>0</v>
      </c>
      <c r="AF134" s="3">
        <v>0</v>
      </c>
    </row>
    <row r="135" spans="8:32" x14ac:dyDescent="0.35">
      <c r="H135" s="3" t="str">
        <v>Sc</v>
      </c>
      <c r="I135" s="3" t="str">
        <v>Scandium</v>
      </c>
      <c r="J135" s="3" t="str">
        <v>Gamma</v>
      </c>
      <c r="K135" s="3" t="str">
        <v/>
      </c>
      <c r="L135" s="3" t="str">
        <v/>
      </c>
      <c r="M135" s="3">
        <v>4008.2719999999999</v>
      </c>
      <c r="N135" s="3">
        <v>1608</v>
      </c>
      <c r="O135" s="3">
        <v>1608</v>
      </c>
      <c r="P135" s="3">
        <v>1812</v>
      </c>
      <c r="Q135" s="3">
        <v>10.57</v>
      </c>
      <c r="R135" s="3">
        <v>0</v>
      </c>
      <c r="S135" s="3">
        <v>0</v>
      </c>
      <c r="T135" s="3">
        <v>0</v>
      </c>
      <c r="U135" s="3">
        <v>0</v>
      </c>
      <c r="V135" s="3">
        <v>0</v>
      </c>
      <c r="W135" s="3">
        <v>0</v>
      </c>
      <c r="X135" s="3">
        <v>0</v>
      </c>
      <c r="Y135" s="3">
        <v>0</v>
      </c>
      <c r="Z135" s="3">
        <v>0</v>
      </c>
      <c r="AA135" s="3">
        <v>0</v>
      </c>
      <c r="AB135" s="3">
        <v>0</v>
      </c>
      <c r="AC135" s="3">
        <v>0</v>
      </c>
      <c r="AD135" s="3">
        <v>0</v>
      </c>
      <c r="AE135" s="3">
        <v>0</v>
      </c>
      <c r="AF135" s="3">
        <v>0</v>
      </c>
    </row>
    <row r="136" spans="8:32" x14ac:dyDescent="0.35">
      <c r="H136" s="3" t="str">
        <v>Sc</v>
      </c>
      <c r="I136" s="3" t="str">
        <v>Scandium</v>
      </c>
      <c r="J136" s="3" t="str">
        <v>Liquid</v>
      </c>
      <c r="K136" s="3" t="str">
        <v/>
      </c>
      <c r="L136" s="3" t="str">
        <v/>
      </c>
      <c r="M136" s="3">
        <v>14095.896000000001</v>
      </c>
      <c r="N136" s="3">
        <v>1812</v>
      </c>
      <c r="O136" s="3">
        <v>1812</v>
      </c>
      <c r="P136" s="3">
        <v>3000</v>
      </c>
      <c r="Q136" s="3">
        <v>10.57</v>
      </c>
      <c r="R136" s="3">
        <v>0</v>
      </c>
      <c r="S136" s="3">
        <v>0</v>
      </c>
      <c r="T136" s="3">
        <v>0</v>
      </c>
      <c r="U136" s="3">
        <v>0</v>
      </c>
      <c r="V136" s="3">
        <v>0</v>
      </c>
      <c r="W136" s="3">
        <v>0</v>
      </c>
      <c r="X136" s="3">
        <v>0</v>
      </c>
      <c r="Y136" s="3">
        <v>0</v>
      </c>
      <c r="Z136" s="3">
        <v>0</v>
      </c>
      <c r="AA136" s="3">
        <v>0</v>
      </c>
      <c r="AB136" s="3">
        <v>0</v>
      </c>
      <c r="AC136" s="3">
        <v>0</v>
      </c>
      <c r="AD136" s="3">
        <v>0</v>
      </c>
      <c r="AE136" s="3">
        <v>0</v>
      </c>
      <c r="AF136" s="3">
        <v>0</v>
      </c>
    </row>
    <row r="137" spans="8:32" x14ac:dyDescent="0.35">
      <c r="H137" s="3" t="str">
        <v>Sc</v>
      </c>
      <c r="I137" s="3" t="str">
        <v>Scandium</v>
      </c>
      <c r="J137" s="3" t="str">
        <v>Gas</v>
      </c>
      <c r="K137" s="3">
        <v>377815.2</v>
      </c>
      <c r="L137" s="3">
        <v>174.68200000000002</v>
      </c>
      <c r="M137" s="3" t="str">
        <v/>
      </c>
      <c r="N137" s="3" t="str">
        <v/>
      </c>
      <c r="O137" s="3">
        <v>295</v>
      </c>
      <c r="P137" s="3">
        <v>300</v>
      </c>
      <c r="Q137" s="3">
        <v>5.28</v>
      </c>
      <c r="R137" s="3">
        <v>0</v>
      </c>
      <c r="S137" s="3">
        <v>0</v>
      </c>
      <c r="T137" s="3">
        <v>0</v>
      </c>
      <c r="U137" s="3">
        <v>0</v>
      </c>
      <c r="V137" s="3">
        <v>0</v>
      </c>
      <c r="W137" s="3">
        <v>0</v>
      </c>
      <c r="X137" s="3">
        <v>0</v>
      </c>
      <c r="Y137" s="3">
        <v>0</v>
      </c>
      <c r="Z137" s="3">
        <v>0</v>
      </c>
      <c r="AA137" s="3">
        <v>0</v>
      </c>
      <c r="AB137" s="3">
        <v>0</v>
      </c>
      <c r="AC137" s="3">
        <v>0</v>
      </c>
      <c r="AD137" s="3">
        <v>0</v>
      </c>
      <c r="AE137" s="3">
        <v>0</v>
      </c>
      <c r="AF137" s="3">
        <v>0</v>
      </c>
    </row>
    <row r="138" spans="8:32" x14ac:dyDescent="0.35">
      <c r="H138" s="3" t="str">
        <v>Ti</v>
      </c>
      <c r="I138" s="3" t="str">
        <v>Titanium</v>
      </c>
      <c r="J138" s="3" t="str">
        <v>Solid Alpha</v>
      </c>
      <c r="K138" s="3">
        <v>0</v>
      </c>
      <c r="L138" s="3">
        <v>30.759</v>
      </c>
      <c r="M138" s="3" t="str">
        <v/>
      </c>
      <c r="N138" s="3" t="str">
        <v/>
      </c>
      <c r="O138" s="3">
        <v>298.14999999999998</v>
      </c>
      <c r="P138" s="3">
        <v>1166</v>
      </c>
      <c r="Q138" s="3">
        <v>189.79883247603701</v>
      </c>
      <c r="R138" s="3">
        <v>0</v>
      </c>
      <c r="S138" s="3">
        <v>-0.13835315919560001</v>
      </c>
      <c r="T138" s="3">
        <v>1</v>
      </c>
      <c r="U138" s="3">
        <v>1779269.94016876</v>
      </c>
      <c r="V138" s="3">
        <v>-2</v>
      </c>
      <c r="W138" s="3">
        <v>5.9993016821655803E-5</v>
      </c>
      <c r="X138" s="3">
        <v>2</v>
      </c>
      <c r="Y138" s="3">
        <v>-2566.4436429235702</v>
      </c>
      <c r="Z138" s="3">
        <v>-0.5</v>
      </c>
      <c r="AA138" s="3">
        <v>0</v>
      </c>
      <c r="AB138" s="3">
        <v>0</v>
      </c>
      <c r="AC138" s="3">
        <v>0</v>
      </c>
      <c r="AD138" s="3">
        <v>0</v>
      </c>
      <c r="AE138" s="3">
        <v>0</v>
      </c>
      <c r="AF138" s="3">
        <v>0</v>
      </c>
    </row>
    <row r="139" spans="8:32" x14ac:dyDescent="0.35">
      <c r="H139" s="3" t="str">
        <v>Ti</v>
      </c>
      <c r="I139" s="3" t="str">
        <v>Titanium</v>
      </c>
      <c r="J139" s="3" t="str">
        <v>Solid Alpha</v>
      </c>
      <c r="K139" s="3">
        <v>0</v>
      </c>
      <c r="L139" s="3">
        <v>30.759</v>
      </c>
      <c r="M139" s="3" t="str">
        <v/>
      </c>
      <c r="N139" s="3" t="str">
        <v/>
      </c>
      <c r="O139" s="3">
        <v>1166</v>
      </c>
      <c r="P139" s="3">
        <v>1939</v>
      </c>
      <c r="Q139" s="3">
        <v>22.191345900000002</v>
      </c>
      <c r="R139" s="3">
        <v>0</v>
      </c>
      <c r="S139" s="3">
        <v>6.0495792000000003E-3</v>
      </c>
      <c r="T139" s="3">
        <v>1</v>
      </c>
      <c r="U139" s="3">
        <v>0</v>
      </c>
      <c r="V139" s="3">
        <v>0</v>
      </c>
      <c r="W139" s="3">
        <v>0</v>
      </c>
      <c r="X139" s="3">
        <v>0</v>
      </c>
      <c r="Y139" s="3">
        <v>0</v>
      </c>
      <c r="Z139" s="3">
        <v>0</v>
      </c>
      <c r="AA139" s="3">
        <v>0</v>
      </c>
      <c r="AB139" s="3">
        <v>0</v>
      </c>
      <c r="AC139" s="3">
        <v>0</v>
      </c>
      <c r="AD139" s="3">
        <v>0</v>
      </c>
      <c r="AE139" s="3">
        <v>0</v>
      </c>
      <c r="AF139" s="3">
        <v>0</v>
      </c>
    </row>
    <row r="140" spans="8:32" x14ac:dyDescent="0.35">
      <c r="H140" s="3" t="str">
        <v>Ti</v>
      </c>
      <c r="I140" s="3" t="str">
        <v>Titanium</v>
      </c>
      <c r="J140" s="3" t="str">
        <v>Solid Alpha</v>
      </c>
      <c r="K140" s="3">
        <v>0</v>
      </c>
      <c r="L140" s="3">
        <v>30.759</v>
      </c>
      <c r="M140" s="3" t="str">
        <v/>
      </c>
      <c r="N140" s="3" t="str">
        <v/>
      </c>
      <c r="O140" s="3">
        <v>1939</v>
      </c>
      <c r="P140" s="3">
        <v>1940</v>
      </c>
      <c r="Q140" s="3">
        <v>34</v>
      </c>
      <c r="R140" s="3">
        <v>0</v>
      </c>
      <c r="S140" s="3">
        <v>0</v>
      </c>
      <c r="T140" s="3">
        <v>0</v>
      </c>
      <c r="U140" s="3">
        <v>0</v>
      </c>
      <c r="V140" s="3">
        <v>0</v>
      </c>
      <c r="W140" s="3">
        <v>0</v>
      </c>
      <c r="X140" s="3">
        <v>0</v>
      </c>
      <c r="Y140" s="3">
        <v>0</v>
      </c>
      <c r="Z140" s="3">
        <v>0</v>
      </c>
      <c r="AA140" s="3">
        <v>0</v>
      </c>
      <c r="AB140" s="3">
        <v>0</v>
      </c>
      <c r="AC140" s="3">
        <v>0</v>
      </c>
      <c r="AD140" s="3">
        <v>0</v>
      </c>
      <c r="AE140" s="3">
        <v>0</v>
      </c>
      <c r="AF140" s="3">
        <v>0</v>
      </c>
    </row>
    <row r="141" spans="8:32" x14ac:dyDescent="0.35">
      <c r="H141" s="3" t="str">
        <v>Ti</v>
      </c>
      <c r="I141" s="3" t="str">
        <v>Titanium</v>
      </c>
      <c r="J141" s="3" t="str">
        <v>Solid Beta</v>
      </c>
      <c r="K141" s="3" t="str">
        <v/>
      </c>
      <c r="L141" s="3" t="str">
        <v/>
      </c>
      <c r="M141" s="3">
        <v>4172</v>
      </c>
      <c r="N141" s="3">
        <v>1166</v>
      </c>
      <c r="O141" s="3">
        <v>298.10000000000002</v>
      </c>
      <c r="P141" s="3">
        <v>1166</v>
      </c>
      <c r="Q141" s="3">
        <v>22.191345900000002</v>
      </c>
      <c r="R141" s="3">
        <v>0</v>
      </c>
      <c r="S141" s="3">
        <v>6.0495792000000003E-3</v>
      </c>
      <c r="T141" s="3">
        <v>1</v>
      </c>
      <c r="U141" s="3">
        <v>0</v>
      </c>
      <c r="V141" s="3">
        <v>0</v>
      </c>
      <c r="W141" s="3">
        <v>0</v>
      </c>
      <c r="X141" s="3">
        <v>0</v>
      </c>
      <c r="Y141" s="3">
        <v>0</v>
      </c>
      <c r="Z141" s="3">
        <v>0</v>
      </c>
      <c r="AA141" s="3">
        <v>0</v>
      </c>
      <c r="AB141" s="3">
        <v>0</v>
      </c>
      <c r="AC141" s="3">
        <v>0</v>
      </c>
      <c r="AD141" s="3">
        <v>0</v>
      </c>
      <c r="AE141" s="3">
        <v>0</v>
      </c>
      <c r="AF141" s="3">
        <v>0</v>
      </c>
    </row>
    <row r="142" spans="8:32" x14ac:dyDescent="0.35">
      <c r="H142" s="3" t="str">
        <v>Ti</v>
      </c>
      <c r="I142" s="3" t="str">
        <v>Titanium</v>
      </c>
      <c r="J142" s="3" t="str">
        <v>Solid Beta</v>
      </c>
      <c r="K142" s="3" t="str">
        <v/>
      </c>
      <c r="L142" s="3" t="str">
        <v/>
      </c>
      <c r="M142" s="3">
        <v>4172</v>
      </c>
      <c r="N142" s="3">
        <v>1166</v>
      </c>
      <c r="O142" s="3">
        <v>1166</v>
      </c>
      <c r="P142" s="3">
        <v>1939</v>
      </c>
      <c r="Q142" s="3">
        <v>31.232442599999999</v>
      </c>
      <c r="R142" s="3">
        <v>0</v>
      </c>
      <c r="S142" s="3">
        <v>-9.4035521600000001E-3</v>
      </c>
      <c r="T142" s="3">
        <v>1</v>
      </c>
      <c r="U142" s="3">
        <v>-24586.3806</v>
      </c>
      <c r="V142" s="3">
        <v>-2</v>
      </c>
      <c r="W142" s="3">
        <v>6.6163795899999997E-6</v>
      </c>
      <c r="X142" s="3">
        <v>2</v>
      </c>
      <c r="Y142" s="3">
        <v>0</v>
      </c>
      <c r="Z142" s="3">
        <v>0</v>
      </c>
      <c r="AA142" s="3">
        <v>0</v>
      </c>
      <c r="AB142" s="3">
        <v>0</v>
      </c>
      <c r="AC142" s="3">
        <v>0</v>
      </c>
      <c r="AD142" s="3">
        <v>0</v>
      </c>
      <c r="AE142" s="3">
        <v>0</v>
      </c>
      <c r="AF142" s="3">
        <v>0</v>
      </c>
    </row>
    <row r="143" spans="8:32" x14ac:dyDescent="0.35">
      <c r="H143" s="3" t="str">
        <v>Ti</v>
      </c>
      <c r="I143" s="3" t="str">
        <v>Titanium</v>
      </c>
      <c r="J143" s="3" t="str">
        <v>Solid Beta</v>
      </c>
      <c r="K143" s="3" t="str">
        <v/>
      </c>
      <c r="L143" s="3" t="str">
        <v/>
      </c>
      <c r="M143" s="3">
        <v>4172</v>
      </c>
      <c r="N143" s="3">
        <v>1166</v>
      </c>
      <c r="O143" s="3">
        <v>1939</v>
      </c>
      <c r="P143" s="3">
        <v>2500</v>
      </c>
      <c r="Q143" s="3">
        <v>-32.545778400000003</v>
      </c>
      <c r="R143" s="3">
        <v>0</v>
      </c>
      <c r="S143" s="3">
        <v>2.9420220899999999E-2</v>
      </c>
      <c r="T143" s="3">
        <v>1</v>
      </c>
      <c r="U143" s="3">
        <v>50260427.5</v>
      </c>
      <c r="V143" s="3">
        <v>-2</v>
      </c>
      <c r="W143" s="3">
        <v>0</v>
      </c>
      <c r="X143" s="3">
        <v>0</v>
      </c>
      <c r="Y143" s="3">
        <v>0</v>
      </c>
      <c r="Z143" s="3">
        <v>0</v>
      </c>
      <c r="AA143" s="3">
        <v>0</v>
      </c>
      <c r="AB143" s="3">
        <v>0</v>
      </c>
      <c r="AC143" s="3">
        <v>0</v>
      </c>
      <c r="AD143" s="3">
        <v>0</v>
      </c>
      <c r="AE143" s="3">
        <v>0</v>
      </c>
      <c r="AF143" s="3">
        <v>0</v>
      </c>
    </row>
    <row r="144" spans="8:32" x14ac:dyDescent="0.35">
      <c r="H144" s="3" t="str">
        <v>Ti</v>
      </c>
      <c r="I144" s="3" t="str">
        <v>Titanium</v>
      </c>
      <c r="J144" s="3" t="str">
        <v>Liquid-1</v>
      </c>
      <c r="K144" s="3" t="str">
        <v/>
      </c>
      <c r="L144" s="3" t="str">
        <v/>
      </c>
      <c r="M144" s="3">
        <v>14146</v>
      </c>
      <c r="N144" s="3">
        <v>1939</v>
      </c>
      <c r="O144" s="3">
        <v>298.14999999999998</v>
      </c>
      <c r="P144" s="3">
        <v>800</v>
      </c>
      <c r="Q144" s="3">
        <v>27.473009090033798</v>
      </c>
      <c r="R144" s="3">
        <v>0</v>
      </c>
      <c r="S144" s="3">
        <v>5.5339590275355099E-4</v>
      </c>
      <c r="T144" s="3">
        <v>1</v>
      </c>
      <c r="U144" s="3">
        <v>0</v>
      </c>
      <c r="V144" s="3">
        <v>0</v>
      </c>
      <c r="W144" s="3">
        <v>0</v>
      </c>
      <c r="X144" s="3">
        <v>0</v>
      </c>
      <c r="Y144" s="3">
        <v>0</v>
      </c>
      <c r="Z144" s="3">
        <v>0</v>
      </c>
      <c r="AA144" s="3">
        <v>0</v>
      </c>
      <c r="AB144" s="3">
        <v>0</v>
      </c>
      <c r="AC144" s="3">
        <v>0</v>
      </c>
      <c r="AD144" s="3">
        <v>0</v>
      </c>
      <c r="AE144" s="3">
        <v>0</v>
      </c>
      <c r="AF144" s="3">
        <v>0</v>
      </c>
    </row>
    <row r="145" spans="8:32" x14ac:dyDescent="0.35">
      <c r="H145" s="3" t="str">
        <v>Ti</v>
      </c>
      <c r="I145" s="3" t="str">
        <v>Titanium</v>
      </c>
      <c r="J145" s="3" t="str">
        <v>Liquid-1</v>
      </c>
      <c r="K145" s="3" t="str">
        <v/>
      </c>
      <c r="L145" s="3" t="str">
        <v/>
      </c>
      <c r="M145" s="3">
        <v>14146</v>
      </c>
      <c r="N145" s="3">
        <v>1939</v>
      </c>
      <c r="O145" s="3">
        <v>800</v>
      </c>
      <c r="P145" s="3">
        <v>1460</v>
      </c>
      <c r="Q145" s="3">
        <v>31.180124784681901</v>
      </c>
      <c r="R145" s="3">
        <v>0</v>
      </c>
      <c r="S145" s="3">
        <v>-9.3620502261842504E-3</v>
      </c>
      <c r="T145" s="3">
        <v>1</v>
      </c>
      <c r="U145" s="3">
        <v>-2302.5727090279102</v>
      </c>
      <c r="V145" s="3">
        <v>-2</v>
      </c>
      <c r="W145" s="3">
        <v>6.6075609036874801E-6</v>
      </c>
      <c r="X145" s="3">
        <v>2</v>
      </c>
      <c r="Y145" s="3">
        <v>0</v>
      </c>
      <c r="Z145" s="3">
        <v>0</v>
      </c>
      <c r="AA145" s="3">
        <v>0</v>
      </c>
      <c r="AB145" s="3">
        <v>0</v>
      </c>
      <c r="AC145" s="3">
        <v>0</v>
      </c>
      <c r="AD145" s="3">
        <v>0</v>
      </c>
      <c r="AE145" s="3">
        <v>0</v>
      </c>
      <c r="AF145" s="3">
        <v>0</v>
      </c>
    </row>
    <row r="146" spans="8:32" x14ac:dyDescent="0.35">
      <c r="H146" s="3" t="str">
        <v>Ti</v>
      </c>
      <c r="I146" s="3" t="str">
        <v>Titanium</v>
      </c>
      <c r="J146" s="3" t="str">
        <v>Liquid-1</v>
      </c>
      <c r="K146" s="3" t="str">
        <v/>
      </c>
      <c r="L146" s="3" t="str">
        <v/>
      </c>
      <c r="M146" s="3">
        <v>14146</v>
      </c>
      <c r="N146" s="3">
        <v>1939</v>
      </c>
      <c r="O146" s="3">
        <v>1460</v>
      </c>
      <c r="P146" s="3">
        <v>4500</v>
      </c>
      <c r="Q146" s="3">
        <v>47.237000000000002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0</v>
      </c>
      <c r="AB146" s="3">
        <v>0</v>
      </c>
      <c r="AC146" s="3">
        <v>0</v>
      </c>
      <c r="AD146" s="3">
        <v>0</v>
      </c>
      <c r="AE146" s="3">
        <v>0</v>
      </c>
      <c r="AF146" s="3">
        <v>0</v>
      </c>
    </row>
    <row r="147" spans="8:32" x14ac:dyDescent="0.35">
      <c r="H147" s="3" t="str">
        <v>Ti</v>
      </c>
      <c r="I147" s="3" t="str">
        <v>Titanium</v>
      </c>
      <c r="J147" s="3" t="str">
        <v>Gas-1</v>
      </c>
      <c r="K147" s="3">
        <v>473629</v>
      </c>
      <c r="L147" s="3">
        <v>180.297</v>
      </c>
      <c r="M147" s="3" t="str">
        <v/>
      </c>
      <c r="N147" s="3" t="str">
        <v/>
      </c>
      <c r="O147" s="3">
        <v>298.14999999999998</v>
      </c>
      <c r="P147" s="3">
        <v>2000</v>
      </c>
      <c r="Q147" s="3">
        <v>22.378973223142498</v>
      </c>
      <c r="R147" s="3">
        <v>0</v>
      </c>
      <c r="S147" s="3">
        <v>-4.2850180432062804E-3</v>
      </c>
      <c r="T147" s="3">
        <v>1</v>
      </c>
      <c r="U147" s="3">
        <v>134597.87858272</v>
      </c>
      <c r="V147" s="3">
        <v>-2</v>
      </c>
      <c r="W147" s="3">
        <v>2.6226585284028101E-6</v>
      </c>
      <c r="X147" s="3">
        <v>2</v>
      </c>
      <c r="Y147" s="3">
        <v>472.15645126832999</v>
      </c>
      <c r="Z147" s="3">
        <v>-1</v>
      </c>
      <c r="AA147" s="3">
        <v>0</v>
      </c>
      <c r="AB147" s="3">
        <v>0</v>
      </c>
      <c r="AC147" s="3">
        <v>0</v>
      </c>
      <c r="AD147" s="3">
        <v>0</v>
      </c>
      <c r="AE147" s="3">
        <v>0</v>
      </c>
      <c r="AF147" s="3">
        <v>0</v>
      </c>
    </row>
    <row r="148" spans="8:32" x14ac:dyDescent="0.35">
      <c r="H148" s="3" t="str">
        <v>Ti</v>
      </c>
      <c r="I148" s="3" t="str">
        <v>Titanium</v>
      </c>
      <c r="J148" s="3" t="str">
        <v>Gas-1</v>
      </c>
      <c r="K148" s="3">
        <v>473629</v>
      </c>
      <c r="L148" s="3">
        <v>180.297</v>
      </c>
      <c r="M148" s="3" t="str">
        <v/>
      </c>
      <c r="N148" s="3" t="str">
        <v/>
      </c>
      <c r="O148" s="3">
        <v>2000</v>
      </c>
      <c r="P148" s="3">
        <v>3631</v>
      </c>
      <c r="Q148" s="3">
        <v>3.2747112500000002</v>
      </c>
      <c r="R148" s="3">
        <v>0</v>
      </c>
      <c r="S148" s="3">
        <v>1.0286276299999999E-2</v>
      </c>
      <c r="T148" s="3">
        <v>1</v>
      </c>
      <c r="U148" s="3">
        <v>11739844.4</v>
      </c>
      <c r="V148" s="3">
        <v>-2</v>
      </c>
      <c r="W148" s="3">
        <v>-5.5323148000000001E-7</v>
      </c>
      <c r="X148" s="3">
        <v>2</v>
      </c>
      <c r="Y148" s="3">
        <v>0</v>
      </c>
      <c r="Z148" s="3">
        <v>0</v>
      </c>
      <c r="AA148" s="3">
        <v>0</v>
      </c>
      <c r="AB148" s="3">
        <v>0</v>
      </c>
      <c r="AC148" s="3">
        <v>0</v>
      </c>
      <c r="AD148" s="3">
        <v>0</v>
      </c>
      <c r="AE148" s="3">
        <v>0</v>
      </c>
      <c r="AF148" s="3">
        <v>0</v>
      </c>
    </row>
    <row r="149" spans="8:32" x14ac:dyDescent="0.35">
      <c r="H149" s="3" t="str">
        <v>Ti</v>
      </c>
      <c r="I149" s="3" t="str">
        <v>Titanium</v>
      </c>
      <c r="J149" s="3" t="str">
        <v>Gas-1</v>
      </c>
      <c r="K149" s="3">
        <v>473629</v>
      </c>
      <c r="L149" s="3">
        <v>180.297</v>
      </c>
      <c r="M149" s="3" t="str">
        <v/>
      </c>
      <c r="N149" s="3" t="str">
        <v/>
      </c>
      <c r="O149" s="3">
        <v>3631</v>
      </c>
      <c r="P149" s="3">
        <v>6000</v>
      </c>
      <c r="Q149" s="3">
        <v>-101.746909</v>
      </c>
      <c r="R149" s="3">
        <v>0</v>
      </c>
      <c r="S149" s="3">
        <v>1051768840</v>
      </c>
      <c r="T149" s="3">
        <v>-2</v>
      </c>
      <c r="U149" s="3">
        <v>-1510245.62</v>
      </c>
      <c r="V149" s="3">
        <v>-1</v>
      </c>
      <c r="W149" s="3">
        <v>28449.1139</v>
      </c>
      <c r="X149" s="3">
        <v>-0.5</v>
      </c>
      <c r="Y149" s="3">
        <v>0</v>
      </c>
      <c r="Z149" s="3">
        <v>0</v>
      </c>
      <c r="AA149" s="3">
        <v>0</v>
      </c>
      <c r="AB149" s="3">
        <v>0</v>
      </c>
      <c r="AC149" s="3">
        <v>0</v>
      </c>
      <c r="AD149" s="3">
        <v>0</v>
      </c>
      <c r="AE149" s="3">
        <v>0</v>
      </c>
      <c r="AF149" s="3">
        <v>0</v>
      </c>
    </row>
    <row r="150" spans="8:32" x14ac:dyDescent="0.35">
      <c r="H150" s="3" t="str">
        <v>V</v>
      </c>
      <c r="I150" s="3" t="str">
        <v>Vanadium</v>
      </c>
      <c r="J150" s="3" t="str">
        <v>Solid-1</v>
      </c>
      <c r="K150" s="3">
        <v>0</v>
      </c>
      <c r="L150" s="3">
        <v>28.936</v>
      </c>
      <c r="M150" s="3" t="str">
        <v/>
      </c>
      <c r="N150" s="3" t="str">
        <v/>
      </c>
      <c r="O150" s="3">
        <v>298.14999999999998</v>
      </c>
      <c r="P150" s="3">
        <v>1200</v>
      </c>
      <c r="Q150" s="3">
        <v>-20.084339061477401</v>
      </c>
      <c r="R150" s="3">
        <v>0</v>
      </c>
      <c r="S150" s="3">
        <v>1.7012518590044799E-2</v>
      </c>
      <c r="T150" s="3">
        <v>1</v>
      </c>
      <c r="U150" s="3">
        <v>357131.01538600202</v>
      </c>
      <c r="V150" s="3">
        <v>-2</v>
      </c>
      <c r="W150" s="3">
        <v>-15884.337202811201</v>
      </c>
      <c r="X150" s="3">
        <v>-1</v>
      </c>
      <c r="Y150" s="3">
        <v>1539.5845260088699</v>
      </c>
      <c r="Z150" s="3">
        <v>-0.5</v>
      </c>
      <c r="AA150" s="3">
        <v>0</v>
      </c>
      <c r="AB150" s="3">
        <v>0</v>
      </c>
      <c r="AC150" s="3">
        <v>0</v>
      </c>
      <c r="AD150" s="3">
        <v>0</v>
      </c>
      <c r="AE150" s="3">
        <v>0</v>
      </c>
      <c r="AF150" s="3">
        <v>0</v>
      </c>
    </row>
    <row r="151" spans="8:32" x14ac:dyDescent="0.35">
      <c r="H151" s="3" t="str">
        <v>V</v>
      </c>
      <c r="I151" s="3" t="str">
        <v>Vanadium</v>
      </c>
      <c r="J151" s="3" t="str">
        <v>Solid-1</v>
      </c>
      <c r="K151" s="3">
        <v>0</v>
      </c>
      <c r="L151" s="3">
        <v>28.936</v>
      </c>
      <c r="M151" s="3" t="str">
        <v/>
      </c>
      <c r="N151" s="3" t="str">
        <v/>
      </c>
      <c r="O151" s="3">
        <v>1200</v>
      </c>
      <c r="P151" s="3">
        <v>2190</v>
      </c>
      <c r="Q151" s="3">
        <v>-1594.3239297034499</v>
      </c>
      <c r="R151" s="3">
        <v>0</v>
      </c>
      <c r="S151" s="3">
        <v>0.136724956945285</v>
      </c>
      <c r="T151" s="3">
        <v>1</v>
      </c>
      <c r="U151" s="3">
        <v>364523341.67437297</v>
      </c>
      <c r="V151" s="3">
        <v>-2</v>
      </c>
      <c r="W151" s="3">
        <v>-2297394.6608759998</v>
      </c>
      <c r="X151" s="3">
        <v>-1</v>
      </c>
      <c r="Y151" s="3">
        <v>108197.543485716</v>
      </c>
      <c r="Z151" s="3">
        <v>-0.5</v>
      </c>
      <c r="AA151" s="3">
        <v>0</v>
      </c>
      <c r="AB151" s="3">
        <v>0</v>
      </c>
      <c r="AC151" s="3">
        <v>0</v>
      </c>
      <c r="AD151" s="3">
        <v>0</v>
      </c>
      <c r="AE151" s="3">
        <v>0</v>
      </c>
      <c r="AF151" s="3">
        <v>0</v>
      </c>
    </row>
    <row r="152" spans="8:32" x14ac:dyDescent="0.35">
      <c r="H152" s="3" t="str">
        <v>V</v>
      </c>
      <c r="I152" s="3" t="str">
        <v>Vanadium</v>
      </c>
      <c r="J152" s="3" t="str">
        <v>Solid-1</v>
      </c>
      <c r="K152" s="3">
        <v>0</v>
      </c>
      <c r="L152" s="3">
        <v>28.936</v>
      </c>
      <c r="M152" s="3" t="str">
        <v/>
      </c>
      <c r="N152" s="3" t="str">
        <v/>
      </c>
      <c r="O152" s="3">
        <v>2190</v>
      </c>
      <c r="P152" s="3">
        <v>2700</v>
      </c>
      <c r="Q152" s="3">
        <v>462.27938712514498</v>
      </c>
      <c r="R152" s="3">
        <v>0</v>
      </c>
      <c r="S152" s="3">
        <v>-371752630.25154001</v>
      </c>
      <c r="T152" s="3">
        <v>-2</v>
      </c>
      <c r="U152" s="3">
        <v>1236756.4238790199</v>
      </c>
      <c r="V152" s="3">
        <v>-1</v>
      </c>
      <c r="W152" s="3">
        <v>-42369.823809472298</v>
      </c>
      <c r="X152" s="3">
        <v>-0.5</v>
      </c>
      <c r="Y152" s="3">
        <v>0</v>
      </c>
      <c r="Z152" s="3">
        <v>0</v>
      </c>
      <c r="AA152" s="3">
        <v>0</v>
      </c>
      <c r="AB152" s="3">
        <v>0</v>
      </c>
      <c r="AC152" s="3">
        <v>0</v>
      </c>
      <c r="AD152" s="3">
        <v>0</v>
      </c>
      <c r="AE152" s="3">
        <v>0</v>
      </c>
      <c r="AF152" s="3">
        <v>0</v>
      </c>
    </row>
    <row r="153" spans="8:32" x14ac:dyDescent="0.35">
      <c r="H153" s="3" t="str">
        <v>V</v>
      </c>
      <c r="I153" s="3" t="str">
        <v>Vanadium</v>
      </c>
      <c r="J153" s="3" t="str">
        <v>Solid-1</v>
      </c>
      <c r="K153" s="3">
        <v>0</v>
      </c>
      <c r="L153" s="3">
        <v>28.936</v>
      </c>
      <c r="M153" s="3" t="str">
        <v/>
      </c>
      <c r="N153" s="3" t="str">
        <v/>
      </c>
      <c r="O153" s="3">
        <v>2700</v>
      </c>
      <c r="P153" s="3">
        <v>2701</v>
      </c>
      <c r="Q153" s="3">
        <v>46.204000000000001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0</v>
      </c>
      <c r="AB153" s="3">
        <v>0</v>
      </c>
      <c r="AC153" s="3">
        <v>0</v>
      </c>
      <c r="AD153" s="3">
        <v>0</v>
      </c>
      <c r="AE153" s="3">
        <v>0</v>
      </c>
      <c r="AF153" s="3">
        <v>0</v>
      </c>
    </row>
    <row r="154" spans="8:32" x14ac:dyDescent="0.35">
      <c r="H154" s="3" t="str">
        <v>V</v>
      </c>
      <c r="I154" s="3" t="str">
        <v>Vanadium</v>
      </c>
      <c r="J154" s="3" t="str">
        <v>Liquid-1</v>
      </c>
      <c r="K154" s="3" t="str">
        <v/>
      </c>
      <c r="L154" s="3" t="str">
        <v/>
      </c>
      <c r="M154" s="3">
        <v>22840</v>
      </c>
      <c r="N154" s="3">
        <v>2190</v>
      </c>
      <c r="O154" s="3">
        <v>298.14999999999998</v>
      </c>
      <c r="P154" s="3">
        <v>1450</v>
      </c>
      <c r="Q154" s="3">
        <v>19.768047128165101</v>
      </c>
      <c r="R154" s="3">
        <v>0</v>
      </c>
      <c r="S154" s="3">
        <v>3.10880894086253E-3</v>
      </c>
      <c r="T154" s="3">
        <v>1</v>
      </c>
      <c r="U154" s="3">
        <v>-385288.520830516</v>
      </c>
      <c r="V154" s="3">
        <v>-2</v>
      </c>
      <c r="W154" s="3">
        <v>3.0853016155286201E-6</v>
      </c>
      <c r="X154" s="3">
        <v>2</v>
      </c>
      <c r="Y154" s="3">
        <v>142.523365441626</v>
      </c>
      <c r="Z154" s="3">
        <v>-0.5</v>
      </c>
      <c r="AA154" s="3">
        <v>0</v>
      </c>
      <c r="AB154" s="3">
        <v>0</v>
      </c>
      <c r="AC154" s="3">
        <v>0</v>
      </c>
      <c r="AD154" s="3">
        <v>0</v>
      </c>
      <c r="AE154" s="3">
        <v>0</v>
      </c>
      <c r="AF154" s="3">
        <v>0</v>
      </c>
    </row>
    <row r="155" spans="8:32" x14ac:dyDescent="0.35">
      <c r="H155" s="3" t="str">
        <v>V</v>
      </c>
      <c r="I155" s="3" t="str">
        <v>Vanadium</v>
      </c>
      <c r="J155" s="3" t="str">
        <v>Liquid-1</v>
      </c>
      <c r="K155" s="3" t="str">
        <v/>
      </c>
      <c r="L155" s="3" t="str">
        <v/>
      </c>
      <c r="M155" s="3">
        <v>22840</v>
      </c>
      <c r="N155" s="3">
        <v>2190</v>
      </c>
      <c r="O155" s="3">
        <v>1450</v>
      </c>
      <c r="P155" s="3">
        <v>4500</v>
      </c>
      <c r="Q155" s="3">
        <v>46.204000000000001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3">
        <v>0</v>
      </c>
      <c r="AB155" s="3">
        <v>0</v>
      </c>
      <c r="AC155" s="3">
        <v>0</v>
      </c>
      <c r="AD155" s="3">
        <v>0</v>
      </c>
      <c r="AE155" s="3">
        <v>0</v>
      </c>
      <c r="AF155" s="3">
        <v>0</v>
      </c>
    </row>
    <row r="156" spans="8:32" x14ac:dyDescent="0.35">
      <c r="H156" s="3" t="str">
        <v>V</v>
      </c>
      <c r="I156" s="3" t="str">
        <v>Vanadium</v>
      </c>
      <c r="J156" s="3" t="str">
        <v>Gas-1</v>
      </c>
      <c r="K156" s="3">
        <v>515469</v>
      </c>
      <c r="L156" s="3">
        <v>182.298</v>
      </c>
      <c r="M156" s="3" t="str">
        <v/>
      </c>
      <c r="N156" s="3" t="str">
        <v/>
      </c>
      <c r="O156" s="3">
        <v>298.14999999999998</v>
      </c>
      <c r="P156" s="3">
        <v>1100</v>
      </c>
      <c r="Q156" s="3">
        <v>163.507956847559</v>
      </c>
      <c r="R156" s="3">
        <v>0</v>
      </c>
      <c r="S156" s="3">
        <v>-2.50479497918129E-2</v>
      </c>
      <c r="T156" s="3">
        <v>1</v>
      </c>
      <c r="U156" s="3">
        <v>-3451266.9812243902</v>
      </c>
      <c r="V156" s="3">
        <v>-2</v>
      </c>
      <c r="W156" s="3">
        <v>72116.540024803006</v>
      </c>
      <c r="X156" s="3">
        <v>-1</v>
      </c>
      <c r="Y156" s="3">
        <v>-5751.3657069783503</v>
      </c>
      <c r="Z156" s="3">
        <v>-0.5</v>
      </c>
      <c r="AA156" s="3">
        <v>0</v>
      </c>
      <c r="AB156" s="3">
        <v>0</v>
      </c>
      <c r="AC156" s="3">
        <v>0</v>
      </c>
      <c r="AD156" s="3">
        <v>0</v>
      </c>
      <c r="AE156" s="3">
        <v>0</v>
      </c>
      <c r="AF156" s="3">
        <v>0</v>
      </c>
    </row>
    <row r="157" spans="8:32" x14ac:dyDescent="0.35">
      <c r="H157" s="3" t="str">
        <v>V</v>
      </c>
      <c r="I157" s="3" t="str">
        <v>Vanadium</v>
      </c>
      <c r="J157" s="3" t="str">
        <v>Gas-1</v>
      </c>
      <c r="K157" s="3">
        <v>515469</v>
      </c>
      <c r="L157" s="3">
        <v>182.298</v>
      </c>
      <c r="M157" s="3" t="str">
        <v/>
      </c>
      <c r="N157" s="3" t="str">
        <v/>
      </c>
      <c r="O157" s="3">
        <v>1100</v>
      </c>
      <c r="P157" s="3">
        <v>3900</v>
      </c>
      <c r="Q157" s="3">
        <v>-116.375133770156</v>
      </c>
      <c r="R157" s="3">
        <v>0</v>
      </c>
      <c r="S157" s="3">
        <v>1.33618905844728E-2</v>
      </c>
      <c r="T157" s="3">
        <v>1</v>
      </c>
      <c r="U157" s="3">
        <v>10571221.860499701</v>
      </c>
      <c r="V157" s="3">
        <v>-2</v>
      </c>
      <c r="W157" s="3">
        <v>-136655.75982088101</v>
      </c>
      <c r="X157" s="3">
        <v>-1</v>
      </c>
      <c r="Y157" s="3">
        <v>8040.3684943452899</v>
      </c>
      <c r="Z157" s="3">
        <v>-0.5</v>
      </c>
      <c r="AA157" s="3">
        <v>0</v>
      </c>
      <c r="AB157" s="3">
        <v>0</v>
      </c>
      <c r="AC157" s="3">
        <v>0</v>
      </c>
      <c r="AD157" s="3">
        <v>0</v>
      </c>
      <c r="AE157" s="3">
        <v>0</v>
      </c>
      <c r="AF157" s="3">
        <v>0</v>
      </c>
    </row>
    <row r="158" spans="8:32" x14ac:dyDescent="0.35">
      <c r="H158" s="3" t="str">
        <v>V</v>
      </c>
      <c r="I158" s="3" t="str">
        <v>Vanadium</v>
      </c>
      <c r="J158" s="3" t="str">
        <v>Gas-1</v>
      </c>
      <c r="K158" s="3">
        <v>515469</v>
      </c>
      <c r="L158" s="3">
        <v>182.298</v>
      </c>
      <c r="M158" s="3" t="str">
        <v/>
      </c>
      <c r="N158" s="3" t="str">
        <v/>
      </c>
      <c r="O158" s="3">
        <v>3900</v>
      </c>
      <c r="P158" s="3">
        <v>6000</v>
      </c>
      <c r="Q158" s="3">
        <v>299.32893017466102</v>
      </c>
      <c r="R158" s="3">
        <v>0</v>
      </c>
      <c r="S158" s="3">
        <v>-757619065.69082999</v>
      </c>
      <c r="T158" s="3">
        <v>-2</v>
      </c>
      <c r="U158" s="3">
        <v>1475145.3802636601</v>
      </c>
      <c r="V158" s="3">
        <v>-1</v>
      </c>
      <c r="W158" s="3">
        <v>-37321.387679205203</v>
      </c>
      <c r="X158" s="3">
        <v>-0.5</v>
      </c>
      <c r="Y158" s="3">
        <v>0</v>
      </c>
      <c r="Z158" s="3">
        <v>0</v>
      </c>
      <c r="AA158" s="3">
        <v>0</v>
      </c>
      <c r="AB158" s="3">
        <v>0</v>
      </c>
      <c r="AC158" s="3">
        <v>0</v>
      </c>
      <c r="AD158" s="3">
        <v>0</v>
      </c>
      <c r="AE158" s="3">
        <v>0</v>
      </c>
      <c r="AF158" s="3">
        <v>0</v>
      </c>
    </row>
    <row r="159" spans="8:32" x14ac:dyDescent="0.35">
      <c r="H159" s="3" t="str">
        <v>Cr</v>
      </c>
      <c r="I159" s="3" t="str">
        <v>chrome</v>
      </c>
      <c r="J159" s="3" t="str">
        <v>Solid</v>
      </c>
      <c r="K159" s="3">
        <v>9.6812109999999993</v>
      </c>
      <c r="L159" s="3">
        <v>23.56975688</v>
      </c>
      <c r="M159" s="3" t="str">
        <v/>
      </c>
      <c r="N159" s="3" t="str">
        <v/>
      </c>
      <c r="O159" s="3">
        <v>298.14999999999998</v>
      </c>
      <c r="P159" s="3">
        <v>2180</v>
      </c>
      <c r="Q159" s="3">
        <v>26.908000000000001</v>
      </c>
      <c r="R159" s="3">
        <v>0</v>
      </c>
      <c r="S159" s="3">
        <v>-3.7886999999999999E-3</v>
      </c>
      <c r="T159" s="3">
        <v>1</v>
      </c>
      <c r="U159" s="3">
        <v>8.8632599999999992E-6</v>
      </c>
      <c r="V159" s="3">
        <v>2</v>
      </c>
      <c r="W159" s="3">
        <v>-278500</v>
      </c>
      <c r="X159" s="3">
        <v>-2</v>
      </c>
      <c r="Y159" s="3">
        <v>0</v>
      </c>
      <c r="Z159" s="3">
        <v>0</v>
      </c>
      <c r="AA159" s="3">
        <v>0</v>
      </c>
      <c r="AB159" s="3">
        <v>0</v>
      </c>
      <c r="AC159" s="3">
        <v>0</v>
      </c>
      <c r="AD159" s="3">
        <v>0</v>
      </c>
      <c r="AE159" s="3">
        <v>0</v>
      </c>
      <c r="AF159" s="3">
        <v>0</v>
      </c>
    </row>
    <row r="160" spans="8:32" x14ac:dyDescent="0.35">
      <c r="H160" s="3" t="str">
        <v>Cr</v>
      </c>
      <c r="I160" s="3" t="str">
        <v>chrome</v>
      </c>
      <c r="J160" s="3" t="str">
        <v>Solid</v>
      </c>
      <c r="K160" s="3">
        <v>9.6812109999999993</v>
      </c>
      <c r="L160" s="3">
        <v>23.56975688</v>
      </c>
      <c r="M160" s="3" t="str">
        <v/>
      </c>
      <c r="N160" s="3" t="str">
        <v/>
      </c>
      <c r="O160" s="3">
        <v>2180</v>
      </c>
      <c r="P160" s="3">
        <v>2181</v>
      </c>
      <c r="Q160" s="3">
        <v>50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v>0</v>
      </c>
      <c r="AD160" s="3">
        <v>0</v>
      </c>
      <c r="AE160" s="3">
        <v>0</v>
      </c>
      <c r="AF160" s="3">
        <v>0</v>
      </c>
    </row>
    <row r="161" spans="8:32" x14ac:dyDescent="0.35">
      <c r="H161" s="3" t="str">
        <v>Cr</v>
      </c>
      <c r="I161" s="3" t="str">
        <v>chrome</v>
      </c>
      <c r="J161" s="3" t="str">
        <v>liquid</v>
      </c>
      <c r="K161" s="3">
        <v>24349.633225149999</v>
      </c>
      <c r="L161" s="3">
        <v>34.98997</v>
      </c>
      <c r="M161" s="3" t="str">
        <v/>
      </c>
      <c r="N161" s="3" t="str">
        <v/>
      </c>
      <c r="O161" s="3">
        <v>298.14999999999998</v>
      </c>
      <c r="P161" s="3">
        <v>2180</v>
      </c>
      <c r="Q161" s="3">
        <v>26.908000000000001</v>
      </c>
      <c r="R161" s="3">
        <v>0</v>
      </c>
      <c r="S161" s="3">
        <v>-3.7886999999999999E-3</v>
      </c>
      <c r="T161" s="3">
        <v>1</v>
      </c>
      <c r="U161" s="3">
        <v>8.8632599999999992E-6</v>
      </c>
      <c r="V161" s="3">
        <v>2</v>
      </c>
      <c r="W161" s="3">
        <v>-278500</v>
      </c>
      <c r="X161" s="3">
        <v>-2</v>
      </c>
      <c r="Y161" s="3">
        <v>-9.9798300000000017E-20</v>
      </c>
      <c r="Z161" s="3">
        <v>6</v>
      </c>
      <c r="AA161" s="3">
        <v>0</v>
      </c>
      <c r="AB161" s="3">
        <v>0</v>
      </c>
      <c r="AC161" s="3">
        <v>0</v>
      </c>
      <c r="AD161" s="3">
        <v>0</v>
      </c>
      <c r="AE161" s="3">
        <v>0</v>
      </c>
      <c r="AF161" s="3">
        <v>0</v>
      </c>
    </row>
    <row r="162" spans="8:32" x14ac:dyDescent="0.35">
      <c r="H162" s="3" t="str">
        <v>Cr</v>
      </c>
      <c r="I162" s="3" t="str">
        <v>chrome</v>
      </c>
      <c r="J162" s="3" t="str">
        <v>liquid</v>
      </c>
      <c r="K162" s="3">
        <v>24349.633225149999</v>
      </c>
      <c r="L162" s="3">
        <v>34.98997</v>
      </c>
      <c r="M162" s="3" t="str">
        <v/>
      </c>
      <c r="N162" s="3" t="str">
        <v/>
      </c>
      <c r="O162" s="3">
        <v>2180</v>
      </c>
      <c r="P162" s="3">
        <v>6000</v>
      </c>
      <c r="Q162" s="3">
        <v>50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0</v>
      </c>
      <c r="AB162" s="3">
        <v>0</v>
      </c>
      <c r="AC162" s="3">
        <v>0</v>
      </c>
      <c r="AD162" s="3">
        <v>0</v>
      </c>
      <c r="AE162" s="3">
        <v>0</v>
      </c>
      <c r="AF162" s="3">
        <v>0</v>
      </c>
    </row>
    <row r="163" spans="8:32" x14ac:dyDescent="0.35">
      <c r="H163" s="3" t="str">
        <v>Cr</v>
      </c>
      <c r="I163" s="3" t="str">
        <v>chrome</v>
      </c>
      <c r="J163" s="3" t="str">
        <v>gas</v>
      </c>
      <c r="K163" s="3" t="str">
        <v/>
      </c>
      <c r="L163" s="3" t="str">
        <v/>
      </c>
      <c r="M163" s="3">
        <v>344259.52</v>
      </c>
      <c r="N163" s="3">
        <v>2945</v>
      </c>
      <c r="O163" s="3">
        <v>298.14999999999998</v>
      </c>
      <c r="P163" s="3">
        <v>6000</v>
      </c>
      <c r="Q163" s="3">
        <v>30.785872000000001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>
        <v>0</v>
      </c>
      <c r="X163" s="3">
        <v>0</v>
      </c>
      <c r="Y163" s="3">
        <v>0</v>
      </c>
      <c r="Z163" s="3">
        <v>0</v>
      </c>
      <c r="AA163" s="3">
        <v>0</v>
      </c>
      <c r="AB163" s="3">
        <v>0</v>
      </c>
      <c r="AC163" s="3">
        <v>0</v>
      </c>
      <c r="AD163" s="3">
        <v>0</v>
      </c>
      <c r="AE163" s="3">
        <v>0</v>
      </c>
      <c r="AF163" s="3">
        <v>0</v>
      </c>
    </row>
    <row r="164" spans="8:32" x14ac:dyDescent="0.35">
      <c r="H164" s="3" t="str">
        <v>Mn</v>
      </c>
      <c r="I164" s="3" t="str">
        <v>Manganese</v>
      </c>
      <c r="J164" s="3" t="str">
        <v>Solid Alpha</v>
      </c>
      <c r="K164" s="3">
        <v>0</v>
      </c>
      <c r="L164" s="3">
        <v>32.01</v>
      </c>
      <c r="M164" s="3" t="str">
        <v/>
      </c>
      <c r="N164" s="3" t="str">
        <v/>
      </c>
      <c r="O164" s="3">
        <v>298.14999999999998</v>
      </c>
      <c r="P164" s="3">
        <v>980</v>
      </c>
      <c r="Q164" s="3">
        <v>23.849959549617299</v>
      </c>
      <c r="R164" s="3">
        <v>0</v>
      </c>
      <c r="S164" s="3">
        <v>1.4140627652139999E-2</v>
      </c>
      <c r="T164" s="3">
        <v>1</v>
      </c>
      <c r="U164" s="3">
        <v>-157054.117011116</v>
      </c>
      <c r="V164" s="3">
        <v>-2</v>
      </c>
      <c r="W164" s="3">
        <v>0</v>
      </c>
      <c r="X164" s="3">
        <v>0</v>
      </c>
      <c r="Y164" s="3">
        <v>0</v>
      </c>
      <c r="Z164" s="3">
        <v>0</v>
      </c>
      <c r="AA164" s="3">
        <v>0</v>
      </c>
      <c r="AB164" s="3">
        <v>0</v>
      </c>
      <c r="AC164" s="3">
        <v>0</v>
      </c>
      <c r="AD164" s="3">
        <v>0</v>
      </c>
      <c r="AE164" s="3">
        <v>0</v>
      </c>
      <c r="AF164" s="3">
        <v>0</v>
      </c>
    </row>
    <row r="165" spans="8:32" x14ac:dyDescent="0.35">
      <c r="H165" s="3" t="str">
        <v>Mn</v>
      </c>
      <c r="I165" s="3" t="str">
        <v>Manganese</v>
      </c>
      <c r="J165" s="3" t="str">
        <v>Solid Alpha</v>
      </c>
      <c r="K165" s="3">
        <v>0</v>
      </c>
      <c r="L165" s="3">
        <v>32.01</v>
      </c>
      <c r="M165" s="3" t="str">
        <v/>
      </c>
      <c r="N165" s="3" t="str">
        <v/>
      </c>
      <c r="O165" s="3">
        <v>980</v>
      </c>
      <c r="P165" s="3">
        <v>1421</v>
      </c>
      <c r="Q165" s="3">
        <v>34.2384688</v>
      </c>
      <c r="R165" s="3">
        <v>0</v>
      </c>
      <c r="S165" s="3">
        <v>3.7830687299999998E-3</v>
      </c>
      <c r="T165" s="3">
        <v>1</v>
      </c>
      <c r="U165" s="3">
        <v>-343245.57299999997</v>
      </c>
      <c r="V165" s="3">
        <v>-2</v>
      </c>
      <c r="W165" s="3">
        <v>0</v>
      </c>
      <c r="X165" s="3">
        <v>0</v>
      </c>
      <c r="Y165" s="3">
        <v>0</v>
      </c>
      <c r="Z165" s="3">
        <v>0</v>
      </c>
      <c r="AA165" s="3">
        <v>0</v>
      </c>
      <c r="AB165" s="3">
        <v>0</v>
      </c>
      <c r="AC165" s="3">
        <v>0</v>
      </c>
      <c r="AD165" s="3">
        <v>0</v>
      </c>
      <c r="AE165" s="3">
        <v>0</v>
      </c>
      <c r="AF165" s="3">
        <v>0</v>
      </c>
    </row>
    <row r="166" spans="8:32" x14ac:dyDescent="0.35">
      <c r="H166" s="3" t="str">
        <v>Mn</v>
      </c>
      <c r="I166" s="3" t="str">
        <v>Manganese</v>
      </c>
      <c r="J166" s="3" t="str">
        <v>Solid Alpha</v>
      </c>
      <c r="K166" s="3">
        <v>0</v>
      </c>
      <c r="L166" s="3">
        <v>32.01</v>
      </c>
      <c r="M166" s="3" t="str">
        <v/>
      </c>
      <c r="N166" s="3" t="str">
        <v/>
      </c>
      <c r="O166" s="3">
        <v>1421</v>
      </c>
      <c r="P166" s="3">
        <v>1422</v>
      </c>
      <c r="Q166" s="3">
        <v>46.024000000000001</v>
      </c>
      <c r="R166" s="3">
        <v>0</v>
      </c>
      <c r="S166" s="3">
        <v>0</v>
      </c>
      <c r="T166" s="3">
        <v>0</v>
      </c>
      <c r="U166" s="3">
        <v>0</v>
      </c>
      <c r="V166" s="3">
        <v>0</v>
      </c>
      <c r="W166" s="3">
        <v>0</v>
      </c>
      <c r="X166" s="3">
        <v>0</v>
      </c>
      <c r="Y166" s="3">
        <v>0</v>
      </c>
      <c r="Z166" s="3">
        <v>0</v>
      </c>
      <c r="AA166" s="3">
        <v>0</v>
      </c>
      <c r="AB166" s="3">
        <v>0</v>
      </c>
      <c r="AC166" s="3">
        <v>0</v>
      </c>
      <c r="AD166" s="3">
        <v>0</v>
      </c>
      <c r="AE166" s="3">
        <v>0</v>
      </c>
      <c r="AF166" s="3">
        <v>0</v>
      </c>
    </row>
    <row r="167" spans="8:32" x14ac:dyDescent="0.35">
      <c r="H167" s="3" t="str">
        <v>Mn</v>
      </c>
      <c r="I167" s="3" t="str">
        <v>Manganese</v>
      </c>
      <c r="J167" s="3" t="str">
        <v>Solid Beta</v>
      </c>
      <c r="K167" s="3" t="str">
        <v/>
      </c>
      <c r="L167" s="3" t="str">
        <v/>
      </c>
      <c r="M167" s="3">
        <v>2226</v>
      </c>
      <c r="N167" s="3">
        <v>980</v>
      </c>
      <c r="O167" s="3">
        <v>298</v>
      </c>
      <c r="P167" s="3">
        <v>980</v>
      </c>
      <c r="Q167" s="3">
        <v>23.849959500000001</v>
      </c>
      <c r="R167" s="3">
        <v>0</v>
      </c>
      <c r="S167" s="3">
        <v>1.41406277E-2</v>
      </c>
      <c r="T167" s="3">
        <v>1</v>
      </c>
      <c r="U167" s="3">
        <v>-157054.117</v>
      </c>
      <c r="V167" s="3">
        <v>-2</v>
      </c>
      <c r="W167" s="3">
        <v>0</v>
      </c>
      <c r="X167" s="3">
        <v>0</v>
      </c>
      <c r="Y167" s="3">
        <v>0</v>
      </c>
      <c r="Z167" s="3">
        <v>0</v>
      </c>
      <c r="AA167" s="3">
        <v>0</v>
      </c>
      <c r="AB167" s="3">
        <v>0</v>
      </c>
      <c r="AC167" s="3">
        <v>0</v>
      </c>
      <c r="AD167" s="3">
        <v>0</v>
      </c>
      <c r="AE167" s="3">
        <v>0</v>
      </c>
      <c r="AF167" s="3">
        <v>0</v>
      </c>
    </row>
    <row r="168" spans="8:32" x14ac:dyDescent="0.35">
      <c r="H168" s="3" t="str">
        <v>Mn</v>
      </c>
      <c r="I168" s="3" t="str">
        <v>Manganese</v>
      </c>
      <c r="J168" s="3" t="str">
        <v>Solid Beta</v>
      </c>
      <c r="K168" s="3" t="str">
        <v/>
      </c>
      <c r="L168" s="3" t="str">
        <v/>
      </c>
      <c r="M168" s="3">
        <v>2226</v>
      </c>
      <c r="N168" s="3">
        <v>980</v>
      </c>
      <c r="O168" s="3">
        <v>980</v>
      </c>
      <c r="P168" s="3">
        <v>1361</v>
      </c>
      <c r="Q168" s="3">
        <v>34.2384688</v>
      </c>
      <c r="R168" s="3">
        <v>0</v>
      </c>
      <c r="S168" s="3">
        <v>3.7830687299999998E-3</v>
      </c>
      <c r="T168" s="3">
        <v>1</v>
      </c>
      <c r="U168" s="3">
        <v>-343245.57299999997</v>
      </c>
      <c r="V168" s="3">
        <v>-2</v>
      </c>
      <c r="W168" s="3">
        <v>0</v>
      </c>
      <c r="X168" s="3">
        <v>0</v>
      </c>
      <c r="Y168" s="3">
        <v>0</v>
      </c>
      <c r="Z168" s="3">
        <v>0</v>
      </c>
      <c r="AA168" s="3">
        <v>0</v>
      </c>
      <c r="AB168" s="3">
        <v>0</v>
      </c>
      <c r="AC168" s="3">
        <v>0</v>
      </c>
      <c r="AD168" s="3">
        <v>0</v>
      </c>
      <c r="AE168" s="3">
        <v>0</v>
      </c>
      <c r="AF168" s="3">
        <v>0</v>
      </c>
    </row>
    <row r="169" spans="8:32" x14ac:dyDescent="0.35">
      <c r="H169" s="3" t="str">
        <v>Mn</v>
      </c>
      <c r="I169" s="3" t="str">
        <v>Manganese</v>
      </c>
      <c r="J169" s="3" t="str">
        <v>Solid Beta</v>
      </c>
      <c r="K169" s="3" t="str">
        <v/>
      </c>
      <c r="L169" s="3" t="str">
        <v/>
      </c>
      <c r="M169" s="3">
        <v>2226</v>
      </c>
      <c r="N169" s="3">
        <v>980</v>
      </c>
      <c r="O169" s="3">
        <v>1361</v>
      </c>
      <c r="P169" s="3">
        <v>1362</v>
      </c>
      <c r="Q169" s="3">
        <v>46.024000000000001</v>
      </c>
      <c r="R169" s="3">
        <v>0</v>
      </c>
      <c r="S169" s="3">
        <v>0</v>
      </c>
      <c r="T169" s="3">
        <v>0</v>
      </c>
      <c r="U169" s="3">
        <v>0</v>
      </c>
      <c r="V169" s="3">
        <v>0</v>
      </c>
      <c r="W169" s="3">
        <v>0</v>
      </c>
      <c r="X169" s="3">
        <v>0</v>
      </c>
      <c r="Y169" s="3">
        <v>0</v>
      </c>
      <c r="Z169" s="3">
        <v>0</v>
      </c>
      <c r="AA169" s="3">
        <v>0</v>
      </c>
      <c r="AB169" s="3">
        <v>0</v>
      </c>
      <c r="AC169" s="3">
        <v>0</v>
      </c>
      <c r="AD169" s="3">
        <v>0</v>
      </c>
      <c r="AE169" s="3">
        <v>0</v>
      </c>
      <c r="AF169" s="3">
        <v>0</v>
      </c>
    </row>
    <row r="170" spans="8:32" x14ac:dyDescent="0.35">
      <c r="H170" s="3" t="str">
        <v>Mn</v>
      </c>
      <c r="I170" s="3" t="str">
        <v>Manganese</v>
      </c>
      <c r="J170" s="3" t="str">
        <v>Solid Gamma</v>
      </c>
      <c r="K170" s="3" t="str">
        <v/>
      </c>
      <c r="L170" s="3" t="str">
        <v/>
      </c>
      <c r="M170" s="3">
        <v>2122</v>
      </c>
      <c r="N170" s="3">
        <v>1361</v>
      </c>
      <c r="O170" s="3">
        <v>298</v>
      </c>
      <c r="P170" s="3">
        <v>980</v>
      </c>
      <c r="Q170" s="3">
        <v>23.849959500000001</v>
      </c>
      <c r="R170" s="3">
        <v>0</v>
      </c>
      <c r="S170" s="3">
        <v>1.41406277E-2</v>
      </c>
      <c r="T170" s="3">
        <v>1</v>
      </c>
      <c r="U170" s="3">
        <v>-157054.117</v>
      </c>
      <c r="V170" s="3">
        <v>-2</v>
      </c>
      <c r="W170" s="3">
        <v>0</v>
      </c>
      <c r="X170" s="3">
        <v>0</v>
      </c>
      <c r="Y170" s="3">
        <v>0</v>
      </c>
      <c r="Z170" s="3">
        <v>0</v>
      </c>
      <c r="AA170" s="3">
        <v>0</v>
      </c>
      <c r="AB170" s="3">
        <v>0</v>
      </c>
      <c r="AC170" s="3">
        <v>0</v>
      </c>
      <c r="AD170" s="3">
        <v>0</v>
      </c>
      <c r="AE170" s="3">
        <v>0</v>
      </c>
      <c r="AF170" s="3">
        <v>0</v>
      </c>
    </row>
    <row r="171" spans="8:32" x14ac:dyDescent="0.35">
      <c r="H171" s="3" t="str">
        <v>Mn</v>
      </c>
      <c r="I171" s="3" t="str">
        <v>Manganese</v>
      </c>
      <c r="J171" s="3" t="str">
        <v>Solid Gamma</v>
      </c>
      <c r="K171" s="3" t="str">
        <v/>
      </c>
      <c r="L171" s="3" t="str">
        <v/>
      </c>
      <c r="M171" s="3">
        <v>2122</v>
      </c>
      <c r="N171" s="3">
        <v>1361</v>
      </c>
      <c r="O171" s="3">
        <v>980</v>
      </c>
      <c r="P171" s="3">
        <v>1361</v>
      </c>
      <c r="Q171" s="3">
        <v>34.2384688</v>
      </c>
      <c r="R171" s="3">
        <v>0</v>
      </c>
      <c r="S171" s="3">
        <v>3.7830687299999998E-3</v>
      </c>
      <c r="T171" s="3">
        <v>1</v>
      </c>
      <c r="U171" s="3">
        <v>-343245.57299999997</v>
      </c>
      <c r="V171" s="3">
        <v>-2</v>
      </c>
      <c r="W171" s="3">
        <v>0</v>
      </c>
      <c r="X171" s="3">
        <v>0</v>
      </c>
      <c r="Y171" s="3">
        <v>0</v>
      </c>
      <c r="Z171" s="3">
        <v>0</v>
      </c>
      <c r="AA171" s="3">
        <v>0</v>
      </c>
      <c r="AB171" s="3">
        <v>0</v>
      </c>
      <c r="AC171" s="3">
        <v>0</v>
      </c>
      <c r="AD171" s="3">
        <v>0</v>
      </c>
      <c r="AE171" s="3">
        <v>0</v>
      </c>
      <c r="AF171" s="3">
        <v>0</v>
      </c>
    </row>
    <row r="172" spans="8:32" x14ac:dyDescent="0.35">
      <c r="H172" s="3" t="str">
        <v>Mn</v>
      </c>
      <c r="I172" s="3" t="str">
        <v>Manganese</v>
      </c>
      <c r="J172" s="3" t="str">
        <v>Solid Gamma</v>
      </c>
      <c r="K172" s="3" t="str">
        <v/>
      </c>
      <c r="L172" s="3" t="str">
        <v/>
      </c>
      <c r="M172" s="3">
        <v>2122</v>
      </c>
      <c r="N172" s="3">
        <v>1361</v>
      </c>
      <c r="O172" s="3">
        <v>1361</v>
      </c>
      <c r="P172" s="3">
        <v>1412</v>
      </c>
      <c r="Q172" s="3">
        <v>31.789881900000001</v>
      </c>
      <c r="R172" s="3">
        <v>0</v>
      </c>
      <c r="S172" s="3">
        <v>8.3080168799999996E-3</v>
      </c>
      <c r="T172" s="3">
        <v>1</v>
      </c>
      <c r="U172" s="3">
        <v>0</v>
      </c>
      <c r="V172" s="3">
        <v>0</v>
      </c>
      <c r="W172" s="3">
        <v>0</v>
      </c>
      <c r="X172" s="3">
        <v>0</v>
      </c>
      <c r="Y172" s="3">
        <v>0</v>
      </c>
      <c r="Z172" s="3">
        <v>0</v>
      </c>
      <c r="AA172" s="3">
        <v>0</v>
      </c>
      <c r="AB172" s="3">
        <v>0</v>
      </c>
      <c r="AC172" s="3">
        <v>0</v>
      </c>
      <c r="AD172" s="3">
        <v>0</v>
      </c>
      <c r="AE172" s="3">
        <v>0</v>
      </c>
      <c r="AF172" s="3">
        <v>0</v>
      </c>
    </row>
    <row r="173" spans="8:32" x14ac:dyDescent="0.35">
      <c r="H173" s="3" t="str">
        <v>Mn</v>
      </c>
      <c r="I173" s="3" t="str">
        <v>Manganese</v>
      </c>
      <c r="J173" s="3" t="str">
        <v>Solid Gamma</v>
      </c>
      <c r="K173" s="3" t="str">
        <v/>
      </c>
      <c r="L173" s="3" t="str">
        <v/>
      </c>
      <c r="M173" s="3">
        <v>2122</v>
      </c>
      <c r="N173" s="3">
        <v>1361</v>
      </c>
      <c r="O173" s="3">
        <v>1412</v>
      </c>
      <c r="P173" s="3">
        <v>1413</v>
      </c>
      <c r="Q173" s="3">
        <v>46.024000000000001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0</v>
      </c>
      <c r="Z173" s="3">
        <v>0</v>
      </c>
      <c r="AA173" s="3">
        <v>0</v>
      </c>
      <c r="AB173" s="3">
        <v>0</v>
      </c>
      <c r="AC173" s="3">
        <v>0</v>
      </c>
      <c r="AD173" s="3">
        <v>0</v>
      </c>
      <c r="AE173" s="3">
        <v>0</v>
      </c>
      <c r="AF173" s="3">
        <v>0</v>
      </c>
    </row>
    <row r="174" spans="8:32" x14ac:dyDescent="0.35">
      <c r="H174" s="3" t="str">
        <v>Mn</v>
      </c>
      <c r="I174" s="3" t="str">
        <v>Manganese</v>
      </c>
      <c r="J174" s="3" t="str">
        <v>Solid Delta</v>
      </c>
      <c r="K174" s="3" t="str">
        <v/>
      </c>
      <c r="L174" s="3" t="str">
        <v/>
      </c>
      <c r="M174" s="3">
        <v>1879</v>
      </c>
      <c r="N174" s="3">
        <v>1412</v>
      </c>
      <c r="O174" s="3">
        <v>298</v>
      </c>
      <c r="P174" s="3">
        <v>980</v>
      </c>
      <c r="Q174" s="3">
        <v>23.849959500000001</v>
      </c>
      <c r="R174" s="3">
        <v>0</v>
      </c>
      <c r="S174" s="3">
        <v>1.41406277E-2</v>
      </c>
      <c r="T174" s="3">
        <v>1</v>
      </c>
      <c r="U174" s="3">
        <v>-157054.117</v>
      </c>
      <c r="V174" s="3">
        <v>-2</v>
      </c>
      <c r="W174" s="3">
        <v>0</v>
      </c>
      <c r="X174" s="3">
        <v>0</v>
      </c>
      <c r="Y174" s="3">
        <v>0</v>
      </c>
      <c r="Z174" s="3">
        <v>0</v>
      </c>
      <c r="AA174" s="3">
        <v>0</v>
      </c>
      <c r="AB174" s="3">
        <v>0</v>
      </c>
      <c r="AC174" s="3">
        <v>0</v>
      </c>
      <c r="AD174" s="3">
        <v>0</v>
      </c>
      <c r="AE174" s="3">
        <v>0</v>
      </c>
      <c r="AF174" s="3">
        <v>0</v>
      </c>
    </row>
    <row r="175" spans="8:32" x14ac:dyDescent="0.35">
      <c r="H175" s="3" t="str">
        <v>Mn</v>
      </c>
      <c r="I175" s="3" t="str">
        <v>Manganese</v>
      </c>
      <c r="J175" s="3" t="str">
        <v>Solid Delta</v>
      </c>
      <c r="K175" s="3" t="str">
        <v/>
      </c>
      <c r="L175" s="3" t="str">
        <v/>
      </c>
      <c r="M175" s="3">
        <v>1879</v>
      </c>
      <c r="N175" s="3">
        <v>1412</v>
      </c>
      <c r="O175" s="3">
        <v>980</v>
      </c>
      <c r="P175" s="3">
        <v>1412</v>
      </c>
      <c r="Q175" s="3">
        <v>34.2384688</v>
      </c>
      <c r="R175" s="3">
        <v>0</v>
      </c>
      <c r="S175" s="3">
        <v>3.7830687299999998E-3</v>
      </c>
      <c r="T175" s="3">
        <v>1</v>
      </c>
      <c r="U175" s="3">
        <v>-343245.57299999997</v>
      </c>
      <c r="V175" s="3">
        <v>-2</v>
      </c>
      <c r="W175" s="3">
        <v>0</v>
      </c>
      <c r="X175" s="3">
        <v>0</v>
      </c>
      <c r="Y175" s="3">
        <v>0</v>
      </c>
      <c r="Z175" s="3">
        <v>0</v>
      </c>
      <c r="AA175" s="3">
        <v>0</v>
      </c>
      <c r="AB175" s="3">
        <v>0</v>
      </c>
      <c r="AC175" s="3">
        <v>0</v>
      </c>
      <c r="AD175" s="3">
        <v>0</v>
      </c>
      <c r="AE175" s="3">
        <v>0</v>
      </c>
      <c r="AF175" s="3">
        <v>0</v>
      </c>
    </row>
    <row r="176" spans="8:32" x14ac:dyDescent="0.35">
      <c r="H176" s="3" t="str">
        <v>Mn</v>
      </c>
      <c r="I176" s="3" t="str">
        <v>Manganese</v>
      </c>
      <c r="J176" s="3" t="str">
        <v>Solid Delta</v>
      </c>
      <c r="K176" s="3" t="str">
        <v/>
      </c>
      <c r="L176" s="3" t="str">
        <v/>
      </c>
      <c r="M176" s="3">
        <v>1879</v>
      </c>
      <c r="N176" s="3">
        <v>1412</v>
      </c>
      <c r="O176" s="3">
        <v>1412</v>
      </c>
      <c r="P176" s="3">
        <v>1900</v>
      </c>
      <c r="Q176" s="3">
        <v>33.564730099999998</v>
      </c>
      <c r="R176" s="3">
        <v>0</v>
      </c>
      <c r="S176" s="3">
        <v>8.2675084900000004E-3</v>
      </c>
      <c r="T176" s="3">
        <v>1</v>
      </c>
      <c r="U176" s="3">
        <v>0</v>
      </c>
      <c r="V176" s="3">
        <v>0</v>
      </c>
      <c r="W176" s="3">
        <v>0</v>
      </c>
      <c r="X176" s="3">
        <v>0</v>
      </c>
      <c r="Y176" s="3">
        <v>0</v>
      </c>
      <c r="Z176" s="3">
        <v>0</v>
      </c>
      <c r="AA176" s="3">
        <v>0</v>
      </c>
      <c r="AB176" s="3">
        <v>0</v>
      </c>
      <c r="AC176" s="3">
        <v>0</v>
      </c>
      <c r="AD176" s="3">
        <v>0</v>
      </c>
      <c r="AE176" s="3">
        <v>0</v>
      </c>
      <c r="AF176" s="3">
        <v>0</v>
      </c>
    </row>
    <row r="177" spans="8:32" x14ac:dyDescent="0.35">
      <c r="H177" s="3" t="str">
        <v>Mn</v>
      </c>
      <c r="I177" s="3" t="str">
        <v>Manganese</v>
      </c>
      <c r="J177" s="3" t="str">
        <v>Solid Delta</v>
      </c>
      <c r="K177" s="3" t="str">
        <v/>
      </c>
      <c r="L177" s="3" t="str">
        <v/>
      </c>
      <c r="M177" s="3">
        <v>1879</v>
      </c>
      <c r="N177" s="3">
        <v>1412</v>
      </c>
      <c r="O177" s="3">
        <v>1900</v>
      </c>
      <c r="P177" s="3">
        <v>1901</v>
      </c>
      <c r="Q177" s="3">
        <v>46.024000000000001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0</v>
      </c>
      <c r="Z177" s="3">
        <v>0</v>
      </c>
      <c r="AA177" s="3">
        <v>0</v>
      </c>
      <c r="AB177" s="3">
        <v>0</v>
      </c>
      <c r="AC177" s="3">
        <v>0</v>
      </c>
      <c r="AD177" s="3">
        <v>0</v>
      </c>
      <c r="AE177" s="3">
        <v>0</v>
      </c>
      <c r="AF177" s="3">
        <v>0</v>
      </c>
    </row>
    <row r="178" spans="8:32" x14ac:dyDescent="0.35">
      <c r="H178" s="3" t="str">
        <v>Mn</v>
      </c>
      <c r="I178" s="3" t="str">
        <v>Manganese</v>
      </c>
      <c r="J178" s="3" t="str">
        <v>Liquid-1</v>
      </c>
      <c r="K178" s="3" t="str">
        <v/>
      </c>
      <c r="L178" s="3" t="str">
        <v/>
      </c>
      <c r="M178" s="3">
        <v>12058</v>
      </c>
      <c r="N178" s="3">
        <v>1519</v>
      </c>
      <c r="O178" s="3">
        <v>298.14999999999998</v>
      </c>
      <c r="P178" s="3">
        <v>980</v>
      </c>
      <c r="Q178" s="3">
        <v>23.849943389055099</v>
      </c>
      <c r="R178" s="3">
        <v>0</v>
      </c>
      <c r="S178" s="3">
        <v>1.4140609144104E-2</v>
      </c>
      <c r="T178" s="3">
        <v>1</v>
      </c>
      <c r="U178" s="3">
        <v>-157051.60132291401</v>
      </c>
      <c r="V178" s="3">
        <v>-2</v>
      </c>
      <c r="W178" s="3">
        <v>0</v>
      </c>
      <c r="X178" s="3">
        <v>0</v>
      </c>
      <c r="Y178" s="3">
        <v>0</v>
      </c>
      <c r="Z178" s="3">
        <v>0</v>
      </c>
      <c r="AA178" s="3">
        <v>0</v>
      </c>
      <c r="AB178" s="3">
        <v>0</v>
      </c>
      <c r="AC178" s="3">
        <v>0</v>
      </c>
      <c r="AD178" s="3">
        <v>0</v>
      </c>
      <c r="AE178" s="3">
        <v>0</v>
      </c>
      <c r="AF178" s="3">
        <v>0</v>
      </c>
    </row>
    <row r="179" spans="8:32" x14ac:dyDescent="0.35">
      <c r="H179" s="3" t="str">
        <v>Mn</v>
      </c>
      <c r="I179" s="3" t="str">
        <v>Manganese</v>
      </c>
      <c r="J179" s="3" t="str">
        <v>Liquid-1</v>
      </c>
      <c r="K179" s="3" t="str">
        <v/>
      </c>
      <c r="L179" s="3" t="str">
        <v/>
      </c>
      <c r="M179" s="3">
        <v>12058</v>
      </c>
      <c r="N179" s="3">
        <v>1519</v>
      </c>
      <c r="O179" s="3">
        <v>980</v>
      </c>
      <c r="P179" s="3">
        <v>1125</v>
      </c>
      <c r="Q179" s="3">
        <v>34.2384688</v>
      </c>
      <c r="R179" s="3">
        <v>0</v>
      </c>
      <c r="S179" s="3">
        <v>3.7830687299999998E-3</v>
      </c>
      <c r="T179" s="3">
        <v>1</v>
      </c>
      <c r="U179" s="3">
        <v>-343245.57299999997</v>
      </c>
      <c r="V179" s="3">
        <v>-2</v>
      </c>
      <c r="W179" s="3">
        <v>0</v>
      </c>
      <c r="X179" s="3">
        <v>0</v>
      </c>
      <c r="Y179" s="3">
        <v>0</v>
      </c>
      <c r="Z179" s="3">
        <v>0</v>
      </c>
      <c r="AA179" s="3">
        <v>0</v>
      </c>
      <c r="AB179" s="3">
        <v>0</v>
      </c>
      <c r="AC179" s="3">
        <v>0</v>
      </c>
      <c r="AD179" s="3">
        <v>0</v>
      </c>
      <c r="AE179" s="3">
        <v>0</v>
      </c>
      <c r="AF179" s="3">
        <v>0</v>
      </c>
    </row>
    <row r="180" spans="8:32" x14ac:dyDescent="0.35">
      <c r="H180" s="3" t="str">
        <v>Mn</v>
      </c>
      <c r="I180" s="3" t="str">
        <v>Manganese</v>
      </c>
      <c r="J180" s="3" t="str">
        <v>Liquid-1</v>
      </c>
      <c r="K180" s="3" t="str">
        <v/>
      </c>
      <c r="L180" s="3" t="str">
        <v/>
      </c>
      <c r="M180" s="3">
        <v>12058</v>
      </c>
      <c r="N180" s="3">
        <v>1519</v>
      </c>
      <c r="O180" s="3">
        <v>1125</v>
      </c>
      <c r="P180" s="3">
        <v>3000</v>
      </c>
      <c r="Q180" s="3">
        <v>46.024000000000001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0</v>
      </c>
      <c r="Y180" s="3">
        <v>0</v>
      </c>
      <c r="Z180" s="3">
        <v>0</v>
      </c>
      <c r="AA180" s="3">
        <v>0</v>
      </c>
      <c r="AB180" s="3">
        <v>0</v>
      </c>
      <c r="AC180" s="3">
        <v>0</v>
      </c>
      <c r="AD180" s="3">
        <v>0</v>
      </c>
      <c r="AE180" s="3">
        <v>0</v>
      </c>
      <c r="AF180" s="3">
        <v>0</v>
      </c>
    </row>
    <row r="181" spans="8:32" x14ac:dyDescent="0.35">
      <c r="H181" s="3" t="str">
        <v>Mn</v>
      </c>
      <c r="I181" s="3" t="str">
        <v>Manganese</v>
      </c>
      <c r="J181" s="3" t="str">
        <v>Gas-1</v>
      </c>
      <c r="K181" s="3">
        <v>283257</v>
      </c>
      <c r="L181" s="3">
        <v>173.71600000000001</v>
      </c>
      <c r="M181" s="3" t="str">
        <v/>
      </c>
      <c r="N181" s="3" t="str">
        <v/>
      </c>
      <c r="O181" s="3">
        <v>298.14999999999998</v>
      </c>
      <c r="P181" s="3">
        <v>2334.5300000000002</v>
      </c>
      <c r="Q181" s="3">
        <v>20.699743403503302</v>
      </c>
      <c r="R181" s="3">
        <v>0</v>
      </c>
      <c r="S181" s="3">
        <v>7.37625462990661E-5</v>
      </c>
      <c r="T181" s="3">
        <v>1</v>
      </c>
      <c r="U181" s="3">
        <v>7135.2149670331501</v>
      </c>
      <c r="V181" s="3">
        <v>-2</v>
      </c>
      <c r="W181" s="3">
        <v>0</v>
      </c>
      <c r="X181" s="3">
        <v>0</v>
      </c>
      <c r="Y181" s="3">
        <v>0</v>
      </c>
      <c r="Z181" s="3">
        <v>0</v>
      </c>
      <c r="AA181" s="3">
        <v>0</v>
      </c>
      <c r="AB181" s="3">
        <v>0</v>
      </c>
      <c r="AC181" s="3">
        <v>0</v>
      </c>
      <c r="AD181" s="3">
        <v>0</v>
      </c>
      <c r="AE181" s="3">
        <v>0</v>
      </c>
      <c r="AF181" s="3">
        <v>0</v>
      </c>
    </row>
    <row r="182" spans="8:32" x14ac:dyDescent="0.35">
      <c r="H182" s="3" t="str">
        <v>Mn</v>
      </c>
      <c r="I182" s="3" t="str">
        <v>Manganese</v>
      </c>
      <c r="J182" s="3" t="str">
        <v>Gas-1</v>
      </c>
      <c r="K182" s="3">
        <v>283257</v>
      </c>
      <c r="L182" s="3">
        <v>173.71600000000001</v>
      </c>
      <c r="M182" s="3" t="str">
        <v/>
      </c>
      <c r="N182" s="3" t="str">
        <v/>
      </c>
      <c r="O182" s="3">
        <v>2334.5300000000002</v>
      </c>
      <c r="P182" s="3">
        <v>5500</v>
      </c>
      <c r="Q182" s="3">
        <v>-440.53280100000001</v>
      </c>
      <c r="R182" s="3">
        <v>0</v>
      </c>
      <c r="S182" s="3">
        <v>3.2672764100000001E-2</v>
      </c>
      <c r="T182" s="3">
        <v>1</v>
      </c>
      <c r="U182" s="3">
        <v>-17007005.800000001</v>
      </c>
      <c r="V182" s="3">
        <v>-2</v>
      </c>
      <c r="W182" s="3">
        <v>-536283.72499999998</v>
      </c>
      <c r="X182" s="3">
        <v>-1</v>
      </c>
      <c r="Y182" s="3">
        <v>29858.3979</v>
      </c>
      <c r="Z182" s="3">
        <v>-0.5</v>
      </c>
      <c r="AA182" s="3">
        <v>0</v>
      </c>
      <c r="AB182" s="3">
        <v>0</v>
      </c>
      <c r="AC182" s="3">
        <v>0</v>
      </c>
      <c r="AD182" s="3">
        <v>0</v>
      </c>
      <c r="AE182" s="3">
        <v>0</v>
      </c>
      <c r="AF182" s="3">
        <v>0</v>
      </c>
    </row>
    <row r="183" spans="8:32" x14ac:dyDescent="0.35">
      <c r="H183" s="3" t="str">
        <v>Mn</v>
      </c>
      <c r="I183" s="3" t="str">
        <v>Manganese</v>
      </c>
      <c r="J183" s="3" t="str">
        <v>Gas-1</v>
      </c>
      <c r="K183" s="3">
        <v>283257</v>
      </c>
      <c r="L183" s="3">
        <v>173.71600000000001</v>
      </c>
      <c r="M183" s="3" t="str">
        <v/>
      </c>
      <c r="N183" s="3" t="str">
        <v/>
      </c>
      <c r="O183" s="3">
        <v>5500</v>
      </c>
      <c r="P183" s="3">
        <v>6000</v>
      </c>
      <c r="Q183" s="3">
        <v>590.60932144973197</v>
      </c>
      <c r="R183" s="3">
        <v>0</v>
      </c>
      <c r="S183" s="3">
        <v>16348289031.169901</v>
      </c>
      <c r="T183" s="3">
        <v>-2</v>
      </c>
      <c r="U183" s="3">
        <v>-5980364.6063523004</v>
      </c>
      <c r="V183" s="3">
        <v>-1</v>
      </c>
      <c r="W183" s="3">
        <v>0</v>
      </c>
      <c r="X183" s="3">
        <v>0</v>
      </c>
      <c r="Y183" s="3">
        <v>0</v>
      </c>
      <c r="Z183" s="3">
        <v>0</v>
      </c>
      <c r="AA183" s="3">
        <v>0</v>
      </c>
      <c r="AB183" s="3">
        <v>0</v>
      </c>
      <c r="AC183" s="3">
        <v>0</v>
      </c>
      <c r="AD183" s="3">
        <v>0</v>
      </c>
      <c r="AE183" s="3">
        <v>0</v>
      </c>
      <c r="AF183" s="3">
        <v>0</v>
      </c>
    </row>
    <row r="184" spans="8:32" x14ac:dyDescent="0.35">
      <c r="H184" s="3" t="str">
        <v>Fe</v>
      </c>
      <c r="I184" s="3" t="str">
        <v>Iron</v>
      </c>
      <c r="J184" s="3" t="str">
        <v>bcc</v>
      </c>
      <c r="K184" s="3">
        <v>9149.4460559365307</v>
      </c>
      <c r="L184" s="3">
        <v>36.8634930064662</v>
      </c>
      <c r="M184" s="3" t="str">
        <v/>
      </c>
      <c r="N184" s="3" t="str">
        <v/>
      </c>
      <c r="O184" s="3">
        <v>298.14999999999998</v>
      </c>
      <c r="P184" s="3">
        <v>1811</v>
      </c>
      <c r="Q184" s="3">
        <v>23.514299999999999</v>
      </c>
      <c r="R184" s="3">
        <v>0</v>
      </c>
      <c r="S184" s="3">
        <v>8.7950400000000005E-3</v>
      </c>
      <c r="T184" s="3">
        <v>1</v>
      </c>
      <c r="U184" s="3">
        <v>3.5356139999999999E-7</v>
      </c>
      <c r="V184" s="3">
        <v>2</v>
      </c>
      <c r="W184" s="3">
        <v>-154717</v>
      </c>
      <c r="X184" s="3">
        <v>-2</v>
      </c>
      <c r="Y184" s="3">
        <v>0</v>
      </c>
      <c r="Z184" s="3">
        <v>0</v>
      </c>
      <c r="AA184" s="3">
        <v>0</v>
      </c>
      <c r="AB184" s="3">
        <v>0</v>
      </c>
      <c r="AC184" s="3">
        <v>0</v>
      </c>
      <c r="AD184" s="3">
        <v>0</v>
      </c>
      <c r="AE184" s="3">
        <v>0</v>
      </c>
      <c r="AF184" s="3">
        <v>0</v>
      </c>
    </row>
    <row r="185" spans="8:32" x14ac:dyDescent="0.35">
      <c r="H185" s="3" t="str">
        <v>Fe</v>
      </c>
      <c r="I185" s="3" t="str">
        <v>Iron</v>
      </c>
      <c r="J185" s="3" t="str">
        <v>bcc</v>
      </c>
      <c r="K185" s="3">
        <v>9149.4460559365307</v>
      </c>
      <c r="L185" s="3">
        <v>36.8634930064662</v>
      </c>
      <c r="M185" s="3" t="str">
        <v/>
      </c>
      <c r="N185" s="3" t="str">
        <v/>
      </c>
      <c r="O185" s="3">
        <v>1811</v>
      </c>
      <c r="P185" s="3">
        <v>1812</v>
      </c>
      <c r="Q185" s="3">
        <v>46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0</v>
      </c>
      <c r="Z185" s="3">
        <v>0</v>
      </c>
      <c r="AA185" s="3">
        <v>0</v>
      </c>
      <c r="AB185" s="3">
        <v>0</v>
      </c>
      <c r="AC185" s="3">
        <v>0</v>
      </c>
      <c r="AD185" s="3">
        <v>0</v>
      </c>
      <c r="AE185" s="3">
        <v>0</v>
      </c>
      <c r="AF185" s="3">
        <v>0</v>
      </c>
    </row>
    <row r="186" spans="8:32" x14ac:dyDescent="0.35">
      <c r="H186" s="3" t="str">
        <v>Fe</v>
      </c>
      <c r="I186" s="3" t="str">
        <v>Iron</v>
      </c>
      <c r="J186" s="3" t="str">
        <v>fcc</v>
      </c>
      <c r="K186" s="3">
        <v>7973.0267655365296</v>
      </c>
      <c r="L186" s="3">
        <v>35.90209722937</v>
      </c>
      <c r="M186" s="3" t="str">
        <v/>
      </c>
      <c r="N186" s="3" t="str">
        <v/>
      </c>
      <c r="O186" s="3">
        <v>298.14999999999998</v>
      </c>
      <c r="P186" s="3">
        <v>1811</v>
      </c>
      <c r="Q186" s="3">
        <v>24.664300000000001</v>
      </c>
      <c r="R186" s="3">
        <v>0</v>
      </c>
      <c r="S186" s="3">
        <v>7.5150399999999997E-3</v>
      </c>
      <c r="T186" s="3">
        <v>1</v>
      </c>
      <c r="U186" s="3">
        <v>3.5356139999999999E-7</v>
      </c>
      <c r="V186" s="3">
        <v>2</v>
      </c>
      <c r="W186" s="3">
        <v>-154717</v>
      </c>
      <c r="X186" s="3">
        <v>-2</v>
      </c>
      <c r="Y186" s="3">
        <v>0</v>
      </c>
      <c r="Z186" s="3">
        <v>0</v>
      </c>
      <c r="AA186" s="3">
        <v>0</v>
      </c>
      <c r="AB186" s="3">
        <v>0</v>
      </c>
      <c r="AC186" s="3">
        <v>0</v>
      </c>
      <c r="AD186" s="3">
        <v>0</v>
      </c>
      <c r="AE186" s="3">
        <v>0</v>
      </c>
      <c r="AF186" s="3">
        <v>0</v>
      </c>
    </row>
    <row r="187" spans="8:32" x14ac:dyDescent="0.35">
      <c r="H187" s="3" t="str">
        <v>Fe</v>
      </c>
      <c r="I187" s="3" t="str">
        <v>Iron</v>
      </c>
      <c r="J187" s="3" t="str">
        <v>fcc</v>
      </c>
      <c r="K187" s="3">
        <v>7973.0267655365296</v>
      </c>
      <c r="L187" s="3">
        <v>35.90209722937</v>
      </c>
      <c r="M187" s="3" t="str">
        <v/>
      </c>
      <c r="N187" s="3" t="str">
        <v/>
      </c>
      <c r="O187" s="3">
        <v>1811</v>
      </c>
      <c r="P187" s="3">
        <v>1812</v>
      </c>
      <c r="Q187" s="3">
        <v>46</v>
      </c>
      <c r="R187" s="3">
        <v>0</v>
      </c>
      <c r="S187" s="3">
        <v>0</v>
      </c>
      <c r="T187" s="3">
        <v>0</v>
      </c>
      <c r="U187" s="3">
        <v>0</v>
      </c>
      <c r="V187" s="3">
        <v>0</v>
      </c>
      <c r="W187" s="3">
        <v>0</v>
      </c>
      <c r="X187" s="3">
        <v>0</v>
      </c>
      <c r="Y187" s="3">
        <v>0</v>
      </c>
      <c r="Z187" s="3">
        <v>0</v>
      </c>
      <c r="AA187" s="3">
        <v>0</v>
      </c>
      <c r="AB187" s="3">
        <v>0</v>
      </c>
      <c r="AC187" s="3">
        <v>0</v>
      </c>
      <c r="AD187" s="3">
        <v>0</v>
      </c>
      <c r="AE187" s="3">
        <v>0</v>
      </c>
      <c r="AF187" s="3">
        <v>0</v>
      </c>
    </row>
    <row r="188" spans="8:32" x14ac:dyDescent="0.35">
      <c r="H188" s="3" t="str">
        <v>Fe</v>
      </c>
      <c r="I188" s="3" t="str">
        <v>Iron</v>
      </c>
      <c r="J188" s="3" t="str">
        <v>Liquid</v>
      </c>
      <c r="K188" s="3">
        <v>21189.620674114001</v>
      </c>
      <c r="L188" s="3">
        <v>43.421941077483197</v>
      </c>
      <c r="M188" s="3" t="str">
        <v/>
      </c>
      <c r="N188" s="3" t="str">
        <v/>
      </c>
      <c r="O188" s="3">
        <v>298.14999999999998</v>
      </c>
      <c r="P188" s="3">
        <v>1811</v>
      </c>
      <c r="Q188" s="3">
        <v>23.514299999999999</v>
      </c>
      <c r="R188" s="3">
        <v>0</v>
      </c>
      <c r="S188" s="3">
        <v>8.7950400000000005E-3</v>
      </c>
      <c r="T188" s="3">
        <v>1</v>
      </c>
      <c r="U188" s="3">
        <v>3.5356139999999999E-7</v>
      </c>
      <c r="V188" s="3">
        <v>2</v>
      </c>
      <c r="W188" s="3">
        <v>-154717</v>
      </c>
      <c r="X188" s="3">
        <v>-2</v>
      </c>
      <c r="Y188" s="3">
        <v>1.5435651420000002E-19</v>
      </c>
      <c r="Z188" s="3">
        <v>6</v>
      </c>
      <c r="AA188" s="3">
        <v>0</v>
      </c>
      <c r="AB188" s="3">
        <v>0</v>
      </c>
      <c r="AC188" s="3">
        <v>0</v>
      </c>
      <c r="AD188" s="3">
        <v>0</v>
      </c>
      <c r="AE188" s="3">
        <v>0</v>
      </c>
      <c r="AF188" s="3">
        <v>0</v>
      </c>
    </row>
    <row r="189" spans="8:32" x14ac:dyDescent="0.35">
      <c r="H189" s="3" t="str">
        <v>Fe</v>
      </c>
      <c r="I189" s="3" t="str">
        <v>Iron</v>
      </c>
      <c r="J189" s="3" t="str">
        <v>Liquid</v>
      </c>
      <c r="K189" s="3">
        <v>21189.620674114001</v>
      </c>
      <c r="L189" s="3">
        <v>43.421941077483197</v>
      </c>
      <c r="M189" s="3" t="str">
        <v/>
      </c>
      <c r="N189" s="3" t="str">
        <v/>
      </c>
      <c r="O189" s="3">
        <v>1811</v>
      </c>
      <c r="P189" s="3">
        <v>6000</v>
      </c>
      <c r="Q189" s="3">
        <v>46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3">
        <v>0</v>
      </c>
      <c r="Y189" s="3">
        <v>0</v>
      </c>
      <c r="Z189" s="3">
        <v>0</v>
      </c>
      <c r="AA189" s="3">
        <v>0</v>
      </c>
      <c r="AB189" s="3">
        <v>0</v>
      </c>
      <c r="AC189" s="3">
        <v>0</v>
      </c>
      <c r="AD189" s="3">
        <v>0</v>
      </c>
      <c r="AE189" s="3">
        <v>0</v>
      </c>
      <c r="AF189" s="3">
        <v>0</v>
      </c>
    </row>
    <row r="190" spans="8:32" x14ac:dyDescent="0.35">
      <c r="H190" s="3" t="str">
        <v>Fe</v>
      </c>
      <c r="I190" s="3" t="str">
        <v>Iron</v>
      </c>
      <c r="J190" s="3" t="str">
        <v>gas</v>
      </c>
      <c r="K190" s="3" t="str">
        <v/>
      </c>
      <c r="L190" s="3" t="str">
        <v/>
      </c>
      <c r="M190" s="3">
        <v>349573</v>
      </c>
      <c r="N190" s="3">
        <v>3135</v>
      </c>
      <c r="O190" s="3">
        <v>298.14999999999998</v>
      </c>
      <c r="P190" s="3">
        <v>6000</v>
      </c>
      <c r="Q190" s="3">
        <v>27.062111999999999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>
        <v>0</v>
      </c>
      <c r="X190" s="3">
        <v>0</v>
      </c>
      <c r="Y190" s="3">
        <v>0</v>
      </c>
      <c r="Z190" s="3">
        <v>0</v>
      </c>
      <c r="AA190" s="3">
        <v>0</v>
      </c>
      <c r="AB190" s="3">
        <v>0</v>
      </c>
      <c r="AC190" s="3">
        <v>0</v>
      </c>
      <c r="AD190" s="3">
        <v>0</v>
      </c>
      <c r="AE190" s="3">
        <v>0</v>
      </c>
      <c r="AF190" s="3">
        <v>0</v>
      </c>
    </row>
    <row r="191" spans="8:32" x14ac:dyDescent="0.35">
      <c r="H191" s="3" t="str">
        <v>Co</v>
      </c>
      <c r="I191" s="3" t="str">
        <v>Cobalt</v>
      </c>
      <c r="J191" s="3" t="str">
        <v>Solid</v>
      </c>
      <c r="K191" s="3">
        <v>8521.3594171664408</v>
      </c>
      <c r="L191" s="3">
        <v>37.095741583306101</v>
      </c>
      <c r="M191" s="3" t="str">
        <v/>
      </c>
      <c r="N191" s="3" t="str">
        <v/>
      </c>
      <c r="O191" s="3">
        <v>298.14999999999998</v>
      </c>
      <c r="P191" s="3">
        <v>1768</v>
      </c>
      <c r="Q191" s="3">
        <v>25.086099999999998</v>
      </c>
      <c r="R191" s="3">
        <v>0</v>
      </c>
      <c r="S191" s="3">
        <v>5.3094774000000001E-3</v>
      </c>
      <c r="T191" s="3">
        <v>1</v>
      </c>
      <c r="U191" s="3">
        <v>1.0408799999999999E-6</v>
      </c>
      <c r="V191" s="3">
        <v>2</v>
      </c>
      <c r="W191" s="3">
        <v>-145053.84</v>
      </c>
      <c r="X191" s="3">
        <v>-2</v>
      </c>
      <c r="Y191" s="3">
        <v>0</v>
      </c>
      <c r="Z191" s="3">
        <v>0</v>
      </c>
      <c r="AA191" s="3">
        <v>0</v>
      </c>
      <c r="AB191" s="3">
        <v>0</v>
      </c>
      <c r="AC191" s="3">
        <v>0</v>
      </c>
      <c r="AD191" s="3">
        <v>0</v>
      </c>
      <c r="AE191" s="3">
        <v>0</v>
      </c>
      <c r="AF191" s="3">
        <v>0</v>
      </c>
    </row>
    <row r="192" spans="8:32" x14ac:dyDescent="0.35">
      <c r="H192" s="3" t="str">
        <v>Co</v>
      </c>
      <c r="I192" s="3" t="str">
        <v>Cobalt</v>
      </c>
      <c r="J192" s="3" t="str">
        <v>Solid</v>
      </c>
      <c r="K192" s="3">
        <v>8521.3594171664408</v>
      </c>
      <c r="L192" s="3">
        <v>37.095741583306101</v>
      </c>
      <c r="M192" s="3" t="str">
        <v/>
      </c>
      <c r="N192" s="3" t="str">
        <v/>
      </c>
      <c r="O192" s="3">
        <v>1768</v>
      </c>
      <c r="P192" s="3">
        <v>1769</v>
      </c>
      <c r="Q192" s="3">
        <v>40.5</v>
      </c>
      <c r="R192" s="3">
        <v>0</v>
      </c>
      <c r="S192" s="3">
        <v>0</v>
      </c>
      <c r="T192" s="3">
        <v>0</v>
      </c>
      <c r="U192" s="3">
        <v>0</v>
      </c>
      <c r="V192" s="3">
        <v>0</v>
      </c>
      <c r="W192" s="3">
        <v>0</v>
      </c>
      <c r="X192" s="3">
        <v>0</v>
      </c>
      <c r="Y192" s="3">
        <v>0</v>
      </c>
      <c r="Z192" s="3">
        <v>0</v>
      </c>
      <c r="AA192" s="3">
        <v>0</v>
      </c>
      <c r="AB192" s="3">
        <v>0</v>
      </c>
      <c r="AC192" s="3">
        <v>0</v>
      </c>
      <c r="AD192" s="3">
        <v>0</v>
      </c>
      <c r="AE192" s="3">
        <v>0</v>
      </c>
      <c r="AF192" s="3">
        <v>0</v>
      </c>
    </row>
    <row r="193" spans="8:32" x14ac:dyDescent="0.35">
      <c r="H193" s="3" t="str">
        <v>Co</v>
      </c>
      <c r="I193" s="3" t="str">
        <v>Cobalt</v>
      </c>
      <c r="J193" s="3" t="str">
        <v>Solid</v>
      </c>
      <c r="K193" s="3">
        <v>8948.9501671664402</v>
      </c>
      <c r="L193" s="3">
        <v>37.710989583306102</v>
      </c>
      <c r="M193" s="3" t="str">
        <v/>
      </c>
      <c r="N193" s="3" t="str">
        <v/>
      </c>
      <c r="O193" s="3">
        <v>298.14999999999998</v>
      </c>
      <c r="P193" s="3">
        <v>1768</v>
      </c>
      <c r="Q193" s="3">
        <v>25.086099999999998</v>
      </c>
      <c r="R193" s="3">
        <v>0</v>
      </c>
      <c r="S193" s="3">
        <v>5.3094774000000001E-3</v>
      </c>
      <c r="T193" s="3">
        <v>1</v>
      </c>
      <c r="U193" s="3">
        <v>1.0408799999999999E-6</v>
      </c>
      <c r="V193" s="3">
        <v>2</v>
      </c>
      <c r="W193" s="3">
        <v>-145053.84</v>
      </c>
      <c r="X193" s="3">
        <v>-2</v>
      </c>
      <c r="Y193" s="3">
        <v>0</v>
      </c>
      <c r="Z193" s="3">
        <v>0</v>
      </c>
      <c r="AA193" s="3">
        <v>0</v>
      </c>
      <c r="AB193" s="3">
        <v>0</v>
      </c>
      <c r="AC193" s="3">
        <v>0</v>
      </c>
      <c r="AD193" s="3">
        <v>0</v>
      </c>
      <c r="AE193" s="3">
        <v>0</v>
      </c>
      <c r="AF193" s="3">
        <v>0</v>
      </c>
    </row>
    <row r="194" spans="8:32" x14ac:dyDescent="0.35">
      <c r="H194" s="3" t="str">
        <v>Co</v>
      </c>
      <c r="I194" s="3" t="str">
        <v>Cobalt</v>
      </c>
      <c r="J194" s="3" t="str">
        <v>Solid</v>
      </c>
      <c r="K194" s="3">
        <v>8948.9501671664402</v>
      </c>
      <c r="L194" s="3">
        <v>37.710989583306102</v>
      </c>
      <c r="M194" s="3" t="str">
        <v/>
      </c>
      <c r="N194" s="3" t="str">
        <v/>
      </c>
      <c r="O194" s="3">
        <v>1768</v>
      </c>
      <c r="P194" s="3">
        <v>1769</v>
      </c>
      <c r="Q194" s="3">
        <v>40.5</v>
      </c>
      <c r="R194" s="3">
        <v>0</v>
      </c>
      <c r="S194" s="3">
        <v>0</v>
      </c>
      <c r="T194" s="3">
        <v>0</v>
      </c>
      <c r="U194" s="3">
        <v>0</v>
      </c>
      <c r="V194" s="3">
        <v>0</v>
      </c>
      <c r="W194" s="3">
        <v>0</v>
      </c>
      <c r="X194" s="3">
        <v>0</v>
      </c>
      <c r="Y194" s="3">
        <v>0</v>
      </c>
      <c r="Z194" s="3">
        <v>0</v>
      </c>
      <c r="AA194" s="3">
        <v>0</v>
      </c>
      <c r="AB194" s="3">
        <v>0</v>
      </c>
      <c r="AC194" s="3">
        <v>0</v>
      </c>
      <c r="AD194" s="3">
        <v>0</v>
      </c>
      <c r="AE194" s="3">
        <v>0</v>
      </c>
      <c r="AF194" s="3">
        <v>0</v>
      </c>
    </row>
    <row r="195" spans="8:32" x14ac:dyDescent="0.35">
      <c r="H195" s="3" t="str">
        <v>Co</v>
      </c>
      <c r="I195" s="3" t="str">
        <v>Cobalt</v>
      </c>
      <c r="J195" s="3" t="str">
        <v>Liquid</v>
      </c>
      <c r="K195" s="3">
        <v>23606.398929169802</v>
      </c>
      <c r="L195" s="3">
        <v>46.027684391078097</v>
      </c>
      <c r="M195" s="3" t="str">
        <v/>
      </c>
      <c r="N195" s="3" t="str">
        <v/>
      </c>
      <c r="O195" s="3">
        <v>298.14999999999998</v>
      </c>
      <c r="P195" s="3">
        <v>1768</v>
      </c>
      <c r="Q195" s="3">
        <v>25.086099999999998</v>
      </c>
      <c r="R195" s="3">
        <v>0</v>
      </c>
      <c r="S195" s="3">
        <v>5.3094774000000001E-3</v>
      </c>
      <c r="T195" s="3">
        <v>1</v>
      </c>
      <c r="U195" s="3">
        <v>1.0408799999999999E-6</v>
      </c>
      <c r="V195" s="3">
        <v>2</v>
      </c>
      <c r="W195" s="3">
        <v>-145053.84</v>
      </c>
      <c r="X195" s="3">
        <v>-2</v>
      </c>
      <c r="Y195" s="3">
        <v>9.2316331800000013E-20</v>
      </c>
      <c r="Z195" s="3">
        <v>6</v>
      </c>
      <c r="AA195" s="3">
        <v>0</v>
      </c>
      <c r="AB195" s="3">
        <v>0</v>
      </c>
      <c r="AC195" s="3">
        <v>0</v>
      </c>
      <c r="AD195" s="3">
        <v>0</v>
      </c>
      <c r="AE195" s="3">
        <v>0</v>
      </c>
      <c r="AF195" s="3">
        <v>0</v>
      </c>
    </row>
    <row r="196" spans="8:32" x14ac:dyDescent="0.35">
      <c r="H196" s="3" t="str">
        <v>Co</v>
      </c>
      <c r="I196" s="3" t="str">
        <v>Cobalt</v>
      </c>
      <c r="J196" s="3" t="str">
        <v>Liquid</v>
      </c>
      <c r="K196" s="3">
        <v>23606.398929169802</v>
      </c>
      <c r="L196" s="3">
        <v>46.027684391078097</v>
      </c>
      <c r="M196" s="3" t="str">
        <v/>
      </c>
      <c r="N196" s="3" t="str">
        <v/>
      </c>
      <c r="O196" s="3">
        <v>1768</v>
      </c>
      <c r="P196" s="3">
        <v>6000</v>
      </c>
      <c r="Q196" s="3">
        <v>40.5</v>
      </c>
      <c r="R196" s="3">
        <v>0</v>
      </c>
      <c r="S196" s="3">
        <v>0</v>
      </c>
      <c r="T196" s="3">
        <v>0</v>
      </c>
      <c r="U196" s="3">
        <v>0</v>
      </c>
      <c r="V196" s="3">
        <v>0</v>
      </c>
      <c r="W196" s="3">
        <v>0</v>
      </c>
      <c r="X196" s="3">
        <v>0</v>
      </c>
      <c r="Y196" s="3">
        <v>0</v>
      </c>
      <c r="Z196" s="3">
        <v>0</v>
      </c>
      <c r="AA196" s="3">
        <v>0</v>
      </c>
      <c r="AB196" s="3">
        <v>0</v>
      </c>
      <c r="AC196" s="3">
        <v>0</v>
      </c>
      <c r="AD196" s="3">
        <v>0</v>
      </c>
      <c r="AE196" s="3">
        <v>0</v>
      </c>
      <c r="AF196" s="3">
        <v>0</v>
      </c>
    </row>
    <row r="197" spans="8:32" x14ac:dyDescent="0.35">
      <c r="H197" s="3" t="str">
        <v>Co</v>
      </c>
      <c r="I197" s="3" t="str">
        <v>Cobalt</v>
      </c>
      <c r="J197" s="3" t="str">
        <v>gas</v>
      </c>
      <c r="K197" s="3" t="str">
        <v/>
      </c>
      <c r="L197" s="3" t="str">
        <v/>
      </c>
      <c r="M197" s="3">
        <v>376602</v>
      </c>
      <c r="N197" s="3">
        <v>3201</v>
      </c>
      <c r="O197" s="3">
        <v>298.14999999999998</v>
      </c>
      <c r="P197" s="3">
        <v>6000</v>
      </c>
      <c r="Q197" s="3">
        <v>26.23368</v>
      </c>
      <c r="R197" s="3">
        <v>0</v>
      </c>
      <c r="S197" s="3">
        <v>0</v>
      </c>
      <c r="T197" s="3">
        <v>0</v>
      </c>
      <c r="U197" s="3">
        <v>0</v>
      </c>
      <c r="V197" s="3">
        <v>0</v>
      </c>
      <c r="W197" s="3">
        <v>0</v>
      </c>
      <c r="X197" s="3">
        <v>0</v>
      </c>
      <c r="Y197" s="3">
        <v>0</v>
      </c>
      <c r="Z197" s="3">
        <v>0</v>
      </c>
      <c r="AA197" s="3">
        <v>0</v>
      </c>
      <c r="AB197" s="3">
        <v>0</v>
      </c>
      <c r="AC197" s="3">
        <v>0</v>
      </c>
      <c r="AD197" s="3">
        <v>0</v>
      </c>
      <c r="AE197" s="3">
        <v>0</v>
      </c>
      <c r="AF197" s="3">
        <v>0</v>
      </c>
    </row>
    <row r="198" spans="8:32" x14ac:dyDescent="0.35">
      <c r="H198" s="3" t="str">
        <v>Ni</v>
      </c>
      <c r="I198" s="3" t="str">
        <v>nickel</v>
      </c>
      <c r="J198" s="3" t="str">
        <v>Solid_FCC</v>
      </c>
      <c r="K198" s="3">
        <v>1839.06979029575</v>
      </c>
      <c r="L198" s="3">
        <v>33.022606437199997</v>
      </c>
      <c r="M198" s="3" t="str">
        <v/>
      </c>
      <c r="N198" s="3" t="str">
        <v/>
      </c>
      <c r="O198" s="3">
        <v>298.14999999999998</v>
      </c>
      <c r="P198" s="3">
        <v>1729</v>
      </c>
      <c r="Q198" s="3">
        <v>22.096</v>
      </c>
      <c r="R198" s="3">
        <v>0</v>
      </c>
      <c r="S198" s="3">
        <v>9.6813999999999997E-3</v>
      </c>
      <c r="T198" s="3">
        <v>1</v>
      </c>
      <c r="U198" s="3">
        <v>0</v>
      </c>
      <c r="V198" s="3">
        <v>0</v>
      </c>
      <c r="W198" s="3">
        <v>0</v>
      </c>
      <c r="X198" s="3">
        <v>0</v>
      </c>
      <c r="Y198" s="3">
        <v>0</v>
      </c>
      <c r="Z198" s="3">
        <v>0</v>
      </c>
      <c r="AA198" s="3">
        <v>0</v>
      </c>
      <c r="AB198" s="3">
        <v>0</v>
      </c>
      <c r="AC198" s="3">
        <v>0</v>
      </c>
      <c r="AD198" s="3">
        <v>0</v>
      </c>
      <c r="AE198" s="3">
        <v>0</v>
      </c>
      <c r="AF198" s="3">
        <v>0</v>
      </c>
    </row>
    <row r="199" spans="8:32" x14ac:dyDescent="0.35">
      <c r="H199" s="3" t="str">
        <v>Ni</v>
      </c>
      <c r="I199" s="3" t="str">
        <v>nickel</v>
      </c>
      <c r="J199" s="3" t="str">
        <v>Solid_FCC</v>
      </c>
      <c r="K199" s="3">
        <v>1839.06979029575</v>
      </c>
      <c r="L199" s="3">
        <v>33.022606437199997</v>
      </c>
      <c r="M199" s="3" t="str">
        <v/>
      </c>
      <c r="N199" s="3" t="str">
        <v/>
      </c>
      <c r="O199" s="3">
        <v>1729</v>
      </c>
      <c r="P199" s="3">
        <v>1730</v>
      </c>
      <c r="Q199" s="3">
        <v>43.1</v>
      </c>
      <c r="R199" s="3">
        <v>0</v>
      </c>
      <c r="S199" s="3">
        <v>0</v>
      </c>
      <c r="T199" s="3">
        <v>0</v>
      </c>
      <c r="U199" s="3">
        <v>0</v>
      </c>
      <c r="V199" s="3">
        <v>0</v>
      </c>
      <c r="W199" s="3">
        <v>0</v>
      </c>
      <c r="X199" s="3">
        <v>0</v>
      </c>
      <c r="Y199" s="3">
        <v>0</v>
      </c>
      <c r="Z199" s="3">
        <v>0</v>
      </c>
      <c r="AA199" s="3">
        <v>0</v>
      </c>
      <c r="AB199" s="3">
        <v>0</v>
      </c>
      <c r="AC199" s="3">
        <v>0</v>
      </c>
      <c r="AD199" s="3">
        <v>0</v>
      </c>
      <c r="AE199" s="3">
        <v>0</v>
      </c>
      <c r="AF199" s="3">
        <v>0</v>
      </c>
    </row>
    <row r="200" spans="8:32" x14ac:dyDescent="0.35">
      <c r="H200" s="3" t="str">
        <v>Ni</v>
      </c>
      <c r="I200" s="3" t="str">
        <v>nickel</v>
      </c>
      <c r="J200" s="3" t="str">
        <v>Liquid</v>
      </c>
      <c r="K200" s="3">
        <v>18253.760594480002</v>
      </c>
      <c r="L200" s="3">
        <v>42.419625236100003</v>
      </c>
      <c r="M200" s="3" t="str">
        <v/>
      </c>
      <c r="N200" s="3" t="str">
        <v/>
      </c>
      <c r="O200" s="3">
        <v>298.14999999999998</v>
      </c>
      <c r="P200" s="3">
        <v>1728</v>
      </c>
      <c r="Q200" s="3">
        <v>22.096</v>
      </c>
      <c r="R200" s="3">
        <v>0</v>
      </c>
      <c r="S200" s="3">
        <v>9.6813999999999997E-3</v>
      </c>
      <c r="T200" s="3">
        <v>1</v>
      </c>
      <c r="U200" s="3">
        <v>1.6057356000000002E-19</v>
      </c>
      <c r="V200" s="3">
        <v>6</v>
      </c>
      <c r="W200" s="3">
        <v>0</v>
      </c>
      <c r="X200" s="3">
        <v>0</v>
      </c>
      <c r="Y200" s="3">
        <v>0</v>
      </c>
      <c r="Z200" s="3">
        <v>0</v>
      </c>
      <c r="AA200" s="3">
        <v>0</v>
      </c>
      <c r="AB200" s="3">
        <v>0</v>
      </c>
      <c r="AC200" s="3">
        <v>0</v>
      </c>
      <c r="AD200" s="3">
        <v>0</v>
      </c>
      <c r="AE200" s="3">
        <v>0</v>
      </c>
      <c r="AF200" s="3">
        <v>0</v>
      </c>
    </row>
    <row r="201" spans="8:32" x14ac:dyDescent="0.35">
      <c r="H201" s="3" t="str">
        <v>Ni</v>
      </c>
      <c r="I201" s="3" t="str">
        <v>nickel</v>
      </c>
      <c r="J201" s="3" t="str">
        <v>Liquid</v>
      </c>
      <c r="K201" s="3">
        <v>18253.760594480002</v>
      </c>
      <c r="L201" s="3">
        <v>42.419625236100003</v>
      </c>
      <c r="M201" s="3" t="str">
        <v/>
      </c>
      <c r="N201" s="3" t="str">
        <v/>
      </c>
      <c r="O201" s="3">
        <v>1728</v>
      </c>
      <c r="P201" s="3">
        <v>3000</v>
      </c>
      <c r="Q201" s="3">
        <v>43.1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>
        <v>0</v>
      </c>
      <c r="X201" s="3">
        <v>0</v>
      </c>
      <c r="Y201" s="3">
        <v>0</v>
      </c>
      <c r="Z201" s="3">
        <v>0</v>
      </c>
      <c r="AA201" s="3">
        <v>0</v>
      </c>
      <c r="AB201" s="3">
        <v>0</v>
      </c>
      <c r="AC201" s="3">
        <v>0</v>
      </c>
      <c r="AD201" s="3">
        <v>0</v>
      </c>
      <c r="AE201" s="3">
        <v>0</v>
      </c>
      <c r="AF201" s="3">
        <v>0</v>
      </c>
    </row>
    <row r="202" spans="8:32" x14ac:dyDescent="0.35">
      <c r="H202" s="3" t="str">
        <v>Ni</v>
      </c>
      <c r="I202" s="3" t="str">
        <v>nickel</v>
      </c>
      <c r="J202" s="3" t="str">
        <v>gas</v>
      </c>
      <c r="K202" s="3" t="str">
        <v/>
      </c>
      <c r="L202" s="3" t="str">
        <v/>
      </c>
      <c r="M202" s="3">
        <v>369250.55</v>
      </c>
      <c r="N202" s="3">
        <v>3187</v>
      </c>
      <c r="O202" s="3">
        <v>298.14999999999998</v>
      </c>
      <c r="P202" s="3">
        <v>6000</v>
      </c>
      <c r="Q202" s="3">
        <v>22.392768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>
        <v>0</v>
      </c>
      <c r="X202" s="3">
        <v>0</v>
      </c>
      <c r="Y202" s="3">
        <v>0</v>
      </c>
      <c r="Z202" s="3">
        <v>0</v>
      </c>
      <c r="AA202" s="3">
        <v>0</v>
      </c>
      <c r="AB202" s="3">
        <v>0</v>
      </c>
      <c r="AC202" s="3">
        <v>0</v>
      </c>
      <c r="AD202" s="3">
        <v>0</v>
      </c>
      <c r="AE202" s="3">
        <v>0</v>
      </c>
      <c r="AF202" s="3">
        <v>0</v>
      </c>
    </row>
    <row r="203" spans="8:32" x14ac:dyDescent="0.35">
      <c r="H203" s="3" t="str">
        <v>Cu</v>
      </c>
      <c r="I203" s="3" t="str">
        <v>Copper</v>
      </c>
      <c r="J203" s="3" t="str">
        <v>Solid-1</v>
      </c>
      <c r="K203" s="3">
        <v>0</v>
      </c>
      <c r="L203" s="3">
        <v>33.164000000000001</v>
      </c>
      <c r="M203" s="3" t="str">
        <v/>
      </c>
      <c r="N203" s="3" t="str">
        <v/>
      </c>
      <c r="O203" s="3">
        <v>298.14999999999998</v>
      </c>
      <c r="P203" s="3">
        <v>1100</v>
      </c>
      <c r="Q203" s="3">
        <v>33.557531482278897</v>
      </c>
      <c r="R203" s="3">
        <v>0</v>
      </c>
      <c r="S203" s="3">
        <v>-9.1316477975866995E-3</v>
      </c>
      <c r="T203" s="3">
        <v>1</v>
      </c>
      <c r="U203" s="3">
        <v>212626.806647561</v>
      </c>
      <c r="V203" s="3">
        <v>-2</v>
      </c>
      <c r="W203" s="3">
        <v>6.8673667400820298E-6</v>
      </c>
      <c r="X203" s="3">
        <v>2</v>
      </c>
      <c r="Y203" s="3">
        <v>-2799.2453814981</v>
      </c>
      <c r="Z203" s="3">
        <v>-1</v>
      </c>
      <c r="AA203" s="3">
        <v>0</v>
      </c>
      <c r="AB203" s="3">
        <v>0</v>
      </c>
      <c r="AC203" s="3">
        <v>0</v>
      </c>
      <c r="AD203" s="3">
        <v>0</v>
      </c>
      <c r="AE203" s="3">
        <v>0</v>
      </c>
      <c r="AF203" s="3">
        <v>0</v>
      </c>
    </row>
    <row r="204" spans="8:32" x14ac:dyDescent="0.35">
      <c r="H204" s="3" t="str">
        <v>Cu</v>
      </c>
      <c r="I204" s="3" t="str">
        <v>Copper</v>
      </c>
      <c r="J204" s="3" t="str">
        <v>Solid-1</v>
      </c>
      <c r="K204" s="3">
        <v>0</v>
      </c>
      <c r="L204" s="3">
        <v>33.164000000000001</v>
      </c>
      <c r="M204" s="3" t="str">
        <v/>
      </c>
      <c r="N204" s="3" t="str">
        <v/>
      </c>
      <c r="O204" s="3">
        <v>1100</v>
      </c>
      <c r="P204" s="3">
        <v>2000</v>
      </c>
      <c r="Q204" s="3">
        <v>-1111.3178757379401</v>
      </c>
      <c r="R204" s="3">
        <v>0</v>
      </c>
      <c r="S204" s="3">
        <v>9.3494487937695006E-2</v>
      </c>
      <c r="T204" s="3">
        <v>1</v>
      </c>
      <c r="U204" s="3">
        <v>360627463.00979501</v>
      </c>
      <c r="V204" s="3">
        <v>-2</v>
      </c>
      <c r="W204" s="3">
        <v>-1909966.8844628299</v>
      </c>
      <c r="X204" s="3">
        <v>-1</v>
      </c>
      <c r="Y204" s="3">
        <v>82126.973926685401</v>
      </c>
      <c r="Z204" s="3">
        <v>-0.5</v>
      </c>
      <c r="AA204" s="3">
        <v>0</v>
      </c>
      <c r="AB204" s="3">
        <v>0</v>
      </c>
      <c r="AC204" s="3">
        <v>0</v>
      </c>
      <c r="AD204" s="3">
        <v>0</v>
      </c>
      <c r="AE204" s="3">
        <v>0</v>
      </c>
      <c r="AF204" s="3">
        <v>0</v>
      </c>
    </row>
    <row r="205" spans="8:32" x14ac:dyDescent="0.35">
      <c r="H205" s="3" t="str">
        <v>Cu</v>
      </c>
      <c r="I205" s="3" t="str">
        <v>Copper</v>
      </c>
      <c r="J205" s="3" t="str">
        <v>Solid-1</v>
      </c>
      <c r="K205" s="3">
        <v>0</v>
      </c>
      <c r="L205" s="3">
        <v>33.164000000000001</v>
      </c>
      <c r="M205" s="3" t="str">
        <v/>
      </c>
      <c r="N205" s="3" t="str">
        <v/>
      </c>
      <c r="O205" s="3">
        <v>2000</v>
      </c>
      <c r="P205" s="3">
        <v>2001</v>
      </c>
      <c r="Q205" s="3">
        <v>32.844000000000001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s="3">
        <v>0</v>
      </c>
      <c r="X205" s="3">
        <v>0</v>
      </c>
      <c r="Y205" s="3">
        <v>0</v>
      </c>
      <c r="Z205" s="3">
        <v>0</v>
      </c>
      <c r="AA205" s="3">
        <v>0</v>
      </c>
      <c r="AB205" s="3">
        <v>0</v>
      </c>
      <c r="AC205" s="3">
        <v>0</v>
      </c>
      <c r="AD205" s="3">
        <v>0</v>
      </c>
      <c r="AE205" s="3">
        <v>0</v>
      </c>
      <c r="AF205" s="3">
        <v>0</v>
      </c>
    </row>
    <row r="206" spans="8:32" x14ac:dyDescent="0.35">
      <c r="H206" s="3" t="str">
        <v>Cu</v>
      </c>
      <c r="I206" s="3" t="str">
        <v>Copper</v>
      </c>
      <c r="J206" s="3" t="str">
        <v>Liquid-1</v>
      </c>
      <c r="K206" s="3" t="str">
        <v/>
      </c>
      <c r="L206" s="3" t="str">
        <v/>
      </c>
      <c r="M206" s="3">
        <v>13138</v>
      </c>
      <c r="N206" s="3">
        <v>1358</v>
      </c>
      <c r="O206" s="3">
        <v>298.14999999999998</v>
      </c>
      <c r="P206" s="3">
        <v>900</v>
      </c>
      <c r="Q206" s="3">
        <v>21.514015027302001</v>
      </c>
      <c r="R206" s="3">
        <v>0</v>
      </c>
      <c r="S206" s="3">
        <v>6.1277468800599302E-3</v>
      </c>
      <c r="T206" s="3">
        <v>1</v>
      </c>
      <c r="U206" s="3">
        <v>-259407.30089433101</v>
      </c>
      <c r="V206" s="3">
        <v>-2</v>
      </c>
      <c r="W206" s="3">
        <v>1197.88496038626</v>
      </c>
      <c r="X206" s="3">
        <v>-1</v>
      </c>
      <c r="Y206" s="3">
        <v>0</v>
      </c>
      <c r="Z206" s="3">
        <v>0</v>
      </c>
      <c r="AA206" s="3">
        <v>0</v>
      </c>
      <c r="AB206" s="3">
        <v>0</v>
      </c>
      <c r="AC206" s="3">
        <v>0</v>
      </c>
      <c r="AD206" s="3">
        <v>0</v>
      </c>
      <c r="AE206" s="3">
        <v>0</v>
      </c>
      <c r="AF206" s="3">
        <v>0</v>
      </c>
    </row>
    <row r="207" spans="8:32" x14ac:dyDescent="0.35">
      <c r="H207" s="3" t="str">
        <v>Cu</v>
      </c>
      <c r="I207" s="3" t="str">
        <v>Copper</v>
      </c>
      <c r="J207" s="3" t="str">
        <v>Liquid-1</v>
      </c>
      <c r="K207" s="3" t="str">
        <v/>
      </c>
      <c r="L207" s="3" t="str">
        <v/>
      </c>
      <c r="M207" s="3">
        <v>13138</v>
      </c>
      <c r="N207" s="3">
        <v>1358</v>
      </c>
      <c r="O207" s="3">
        <v>900</v>
      </c>
      <c r="P207" s="3">
        <v>4000</v>
      </c>
      <c r="Q207" s="3">
        <v>32.844000000000001</v>
      </c>
      <c r="R207" s="3">
        <v>0</v>
      </c>
      <c r="S207" s="3">
        <v>0</v>
      </c>
      <c r="T207" s="3">
        <v>0</v>
      </c>
      <c r="U207" s="3">
        <v>0</v>
      </c>
      <c r="V207" s="3">
        <v>0</v>
      </c>
      <c r="W207" s="3">
        <v>0</v>
      </c>
      <c r="X207" s="3">
        <v>0</v>
      </c>
      <c r="Y207" s="3">
        <v>0</v>
      </c>
      <c r="Z207" s="3">
        <v>0</v>
      </c>
      <c r="AA207" s="3">
        <v>0</v>
      </c>
      <c r="AB207" s="3">
        <v>0</v>
      </c>
      <c r="AC207" s="3">
        <v>0</v>
      </c>
      <c r="AD207" s="3">
        <v>0</v>
      </c>
      <c r="AE207" s="3">
        <v>0</v>
      </c>
      <c r="AF207" s="3">
        <v>0</v>
      </c>
    </row>
    <row r="208" spans="8:32" x14ac:dyDescent="0.35">
      <c r="H208" s="3" t="str">
        <v>Cu</v>
      </c>
      <c r="I208" s="3" t="str">
        <v>Copper</v>
      </c>
      <c r="J208" s="3" t="str">
        <v>Gas-1</v>
      </c>
      <c r="K208" s="3">
        <v>337600</v>
      </c>
      <c r="L208" s="3">
        <v>166.39699999999999</v>
      </c>
      <c r="M208" s="3" t="str">
        <v/>
      </c>
      <c r="N208" s="3" t="str">
        <v/>
      </c>
      <c r="O208" s="3">
        <v>298.14999999999998</v>
      </c>
      <c r="P208" s="3">
        <v>1800</v>
      </c>
      <c r="Q208" s="3">
        <v>22.944418198779399</v>
      </c>
      <c r="R208" s="3">
        <v>0</v>
      </c>
      <c r="S208" s="3">
        <v>-2.2474631402802699E-3</v>
      </c>
      <c r="T208" s="3">
        <v>1</v>
      </c>
      <c r="U208" s="3">
        <v>111381.78113383301</v>
      </c>
      <c r="V208" s="3">
        <v>-2</v>
      </c>
      <c r="W208" s="3">
        <v>8.0304263918961305E-7</v>
      </c>
      <c r="X208" s="3">
        <v>2</v>
      </c>
      <c r="Y208" s="3">
        <v>-837.11597954523404</v>
      </c>
      <c r="Z208" s="3">
        <v>-1</v>
      </c>
      <c r="AA208" s="3">
        <v>0</v>
      </c>
      <c r="AB208" s="3">
        <v>0</v>
      </c>
      <c r="AC208" s="3">
        <v>0</v>
      </c>
      <c r="AD208" s="3">
        <v>0</v>
      </c>
      <c r="AE208" s="3">
        <v>0</v>
      </c>
      <c r="AF208" s="3">
        <v>0</v>
      </c>
    </row>
    <row r="209" spans="8:32" x14ac:dyDescent="0.35">
      <c r="H209" s="3" t="str">
        <v>Cu</v>
      </c>
      <c r="I209" s="3" t="str">
        <v>Copper</v>
      </c>
      <c r="J209" s="3" t="str">
        <v>Gas-1</v>
      </c>
      <c r="K209" s="3">
        <v>337600</v>
      </c>
      <c r="L209" s="3">
        <v>166.39699999999999</v>
      </c>
      <c r="M209" s="3" t="str">
        <v/>
      </c>
      <c r="N209" s="3" t="str">
        <v/>
      </c>
      <c r="O209" s="3">
        <v>1800</v>
      </c>
      <c r="P209" s="3">
        <v>4100</v>
      </c>
      <c r="Q209" s="3">
        <v>658.90921427144701</v>
      </c>
      <c r="R209" s="3">
        <v>0</v>
      </c>
      <c r="S209" s="3">
        <v>-2.2026226821824299E-2</v>
      </c>
      <c r="T209" s="3">
        <v>1</v>
      </c>
      <c r="U209" s="3">
        <v>-441758514.95958698</v>
      </c>
      <c r="V209" s="3">
        <v>-2</v>
      </c>
      <c r="W209" s="3">
        <v>1658224.9173030399</v>
      </c>
      <c r="X209" s="3">
        <v>-1</v>
      </c>
      <c r="Y209" s="3">
        <v>-58679.229160382798</v>
      </c>
      <c r="Z209" s="3">
        <v>-0.5</v>
      </c>
      <c r="AA209" s="3">
        <v>0</v>
      </c>
      <c r="AB209" s="3">
        <v>0</v>
      </c>
      <c r="AC209" s="3">
        <v>0</v>
      </c>
      <c r="AD209" s="3">
        <v>0</v>
      </c>
      <c r="AE209" s="3">
        <v>0</v>
      </c>
      <c r="AF209" s="3">
        <v>0</v>
      </c>
    </row>
    <row r="210" spans="8:32" x14ac:dyDescent="0.35">
      <c r="H210" s="3" t="str">
        <v>Cu</v>
      </c>
      <c r="I210" s="3" t="str">
        <v>Copper</v>
      </c>
      <c r="J210" s="3" t="str">
        <v>Gas-1</v>
      </c>
      <c r="K210" s="3">
        <v>337600</v>
      </c>
      <c r="L210" s="3">
        <v>166.39699999999999</v>
      </c>
      <c r="M210" s="3" t="str">
        <v/>
      </c>
      <c r="N210" s="3" t="str">
        <v/>
      </c>
      <c r="O210" s="3">
        <v>4100</v>
      </c>
      <c r="P210" s="3">
        <v>6000</v>
      </c>
      <c r="Q210" s="3">
        <v>11.451640740076201</v>
      </c>
      <c r="R210" s="3">
        <v>0</v>
      </c>
      <c r="S210" s="3">
        <v>-81355891.416201696</v>
      </c>
      <c r="T210" s="3">
        <v>-2</v>
      </c>
      <c r="U210" s="3">
        <v>-148798.79027196899</v>
      </c>
      <c r="V210" s="3">
        <v>-1</v>
      </c>
      <c r="W210" s="3">
        <v>3843.93388964116</v>
      </c>
      <c r="X210" s="3">
        <v>-0.5</v>
      </c>
      <c r="Y210" s="3">
        <v>0</v>
      </c>
      <c r="Z210" s="3">
        <v>0</v>
      </c>
      <c r="AA210" s="3">
        <v>0</v>
      </c>
      <c r="AB210" s="3">
        <v>0</v>
      </c>
      <c r="AC210" s="3">
        <v>0</v>
      </c>
      <c r="AD210" s="3">
        <v>0</v>
      </c>
      <c r="AE210" s="3">
        <v>0</v>
      </c>
      <c r="AF210" s="3">
        <v>0</v>
      </c>
    </row>
    <row r="211" spans="8:32" x14ac:dyDescent="0.35">
      <c r="H211" s="3" t="str">
        <v>Zn</v>
      </c>
      <c r="I211" s="3" t="str">
        <v>Zinc</v>
      </c>
      <c r="J211" s="3" t="str">
        <v>Solid-1</v>
      </c>
      <c r="K211" s="3">
        <v>0</v>
      </c>
      <c r="L211" s="3">
        <v>41.716999999999999</v>
      </c>
      <c r="M211" s="3" t="str">
        <v/>
      </c>
      <c r="N211" s="3" t="str">
        <v/>
      </c>
      <c r="O211" s="3">
        <v>298.14999999999998</v>
      </c>
      <c r="P211" s="3">
        <v>1000</v>
      </c>
      <c r="Q211" s="3">
        <v>21.980430005477999</v>
      </c>
      <c r="R211" s="3">
        <v>0</v>
      </c>
      <c r="S211" s="3">
        <v>8.8705979474548897E-3</v>
      </c>
      <c r="T211" s="3">
        <v>1</v>
      </c>
      <c r="U211" s="3">
        <v>43067.735244912001</v>
      </c>
      <c r="V211" s="3">
        <v>-2</v>
      </c>
      <c r="W211" s="3">
        <v>3.3058798038047E-6</v>
      </c>
      <c r="X211" s="3">
        <v>2</v>
      </c>
      <c r="Y211" s="3">
        <v>0</v>
      </c>
      <c r="Z211" s="3">
        <v>0</v>
      </c>
      <c r="AA211" s="3">
        <v>0</v>
      </c>
      <c r="AB211" s="3">
        <v>0</v>
      </c>
      <c r="AC211" s="3">
        <v>0</v>
      </c>
      <c r="AD211" s="3">
        <v>0</v>
      </c>
      <c r="AE211" s="3">
        <v>0</v>
      </c>
      <c r="AF211" s="3">
        <v>0</v>
      </c>
    </row>
    <row r="212" spans="8:32" x14ac:dyDescent="0.35">
      <c r="H212" s="3" t="str">
        <v>Zn</v>
      </c>
      <c r="I212" s="3" t="str">
        <v>Zinc</v>
      </c>
      <c r="J212" s="3" t="str">
        <v>Solid-1</v>
      </c>
      <c r="K212" s="3">
        <v>0</v>
      </c>
      <c r="L212" s="3">
        <v>41.716999999999999</v>
      </c>
      <c r="M212" s="3" t="str">
        <v/>
      </c>
      <c r="N212" s="3" t="str">
        <v/>
      </c>
      <c r="O212" s="3">
        <v>1000</v>
      </c>
      <c r="P212" s="3">
        <v>1001</v>
      </c>
      <c r="Q212" s="3">
        <v>31.38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>
        <v>0</v>
      </c>
      <c r="Z212" s="3">
        <v>0</v>
      </c>
      <c r="AA212" s="3">
        <v>0</v>
      </c>
      <c r="AB212" s="3">
        <v>0</v>
      </c>
      <c r="AC212" s="3">
        <v>0</v>
      </c>
      <c r="AD212" s="3">
        <v>0</v>
      </c>
      <c r="AE212" s="3">
        <v>0</v>
      </c>
      <c r="AF212" s="3">
        <v>0</v>
      </c>
    </row>
    <row r="213" spans="8:32" x14ac:dyDescent="0.35">
      <c r="H213" s="3" t="str">
        <v>Zn</v>
      </c>
      <c r="I213" s="3" t="str">
        <v>Zinc</v>
      </c>
      <c r="J213" s="3" t="str">
        <v>Liquid-1</v>
      </c>
      <c r="K213" s="3" t="str">
        <v/>
      </c>
      <c r="L213" s="3" t="str">
        <v/>
      </c>
      <c r="M213" s="3">
        <v>7322</v>
      </c>
      <c r="N213" s="3">
        <v>692.73</v>
      </c>
      <c r="O213" s="3">
        <v>298.14999999999998</v>
      </c>
      <c r="P213" s="3">
        <v>440</v>
      </c>
      <c r="Q213" s="3">
        <v>22.557741942164501</v>
      </c>
      <c r="R213" s="3">
        <v>0</v>
      </c>
      <c r="S213" s="3">
        <v>9.4954507670930305E-3</v>
      </c>
      <c r="T213" s="3">
        <v>1</v>
      </c>
      <c r="U213" s="3">
        <v>0</v>
      </c>
      <c r="V213" s="3">
        <v>0</v>
      </c>
      <c r="W213" s="3">
        <v>0</v>
      </c>
      <c r="X213" s="3">
        <v>0</v>
      </c>
      <c r="Y213" s="3">
        <v>0</v>
      </c>
      <c r="Z213" s="3">
        <v>0</v>
      </c>
      <c r="AA213" s="3">
        <v>0</v>
      </c>
      <c r="AB213" s="3">
        <v>0</v>
      </c>
      <c r="AC213" s="3">
        <v>0</v>
      </c>
      <c r="AD213" s="3">
        <v>0</v>
      </c>
      <c r="AE213" s="3">
        <v>0</v>
      </c>
      <c r="AF213" s="3">
        <v>0</v>
      </c>
    </row>
    <row r="214" spans="8:32" x14ac:dyDescent="0.35">
      <c r="H214" s="3" t="str">
        <v>Zn</v>
      </c>
      <c r="I214" s="3" t="str">
        <v>Zinc</v>
      </c>
      <c r="J214" s="3" t="str">
        <v>Liquid-1</v>
      </c>
      <c r="K214" s="3" t="str">
        <v/>
      </c>
      <c r="L214" s="3" t="str">
        <v/>
      </c>
      <c r="M214" s="3">
        <v>7322</v>
      </c>
      <c r="N214" s="3">
        <v>692.73</v>
      </c>
      <c r="O214" s="3">
        <v>440</v>
      </c>
      <c r="P214" s="3">
        <v>2000</v>
      </c>
      <c r="Q214" s="3">
        <v>31.38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>
        <v>0</v>
      </c>
      <c r="Z214" s="3">
        <v>0</v>
      </c>
      <c r="AA214" s="3">
        <v>0</v>
      </c>
      <c r="AB214" s="3">
        <v>0</v>
      </c>
      <c r="AC214" s="3">
        <v>0</v>
      </c>
      <c r="AD214" s="3">
        <v>0</v>
      </c>
      <c r="AE214" s="3">
        <v>0</v>
      </c>
      <c r="AF214" s="3">
        <v>0</v>
      </c>
    </row>
    <row r="215" spans="8:32" x14ac:dyDescent="0.35">
      <c r="H215" s="3" t="str">
        <v>Zn</v>
      </c>
      <c r="I215" s="3" t="str">
        <v>Zinc</v>
      </c>
      <c r="J215" s="3" t="str">
        <v>Gas-1</v>
      </c>
      <c r="K215" s="3">
        <v>130420</v>
      </c>
      <c r="L215" s="3">
        <v>160.989</v>
      </c>
      <c r="M215" s="3" t="str">
        <v/>
      </c>
      <c r="N215" s="3" t="str">
        <v/>
      </c>
      <c r="O215" s="3">
        <v>298.14999999999998</v>
      </c>
      <c r="P215" s="3">
        <v>2600</v>
      </c>
      <c r="Q215" s="3">
        <v>20.786000000000001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0</v>
      </c>
      <c r="X215" s="3">
        <v>0</v>
      </c>
      <c r="Y215" s="3">
        <v>0</v>
      </c>
      <c r="Z215" s="3">
        <v>0</v>
      </c>
      <c r="AA215" s="3">
        <v>0</v>
      </c>
      <c r="AB215" s="3">
        <v>0</v>
      </c>
      <c r="AC215" s="3">
        <v>0</v>
      </c>
      <c r="AD215" s="3">
        <v>0</v>
      </c>
      <c r="AE215" s="3">
        <v>0</v>
      </c>
      <c r="AF215" s="3">
        <v>0</v>
      </c>
    </row>
    <row r="216" spans="8:32" x14ac:dyDescent="0.35">
      <c r="H216" s="3" t="str">
        <v>Zn</v>
      </c>
      <c r="I216" s="3" t="str">
        <v>Zinc</v>
      </c>
      <c r="J216" s="3" t="str">
        <v>Gas-1</v>
      </c>
      <c r="K216" s="3">
        <v>130420</v>
      </c>
      <c r="L216" s="3">
        <v>160.989</v>
      </c>
      <c r="M216" s="3" t="str">
        <v/>
      </c>
      <c r="N216" s="3" t="str">
        <v/>
      </c>
      <c r="O216" s="3">
        <v>2600</v>
      </c>
      <c r="P216" s="3">
        <v>4500</v>
      </c>
      <c r="Q216" s="3">
        <v>-186.52198277993199</v>
      </c>
      <c r="R216" s="3">
        <v>0</v>
      </c>
      <c r="S216" s="3">
        <v>7.7870341247299598E-3</v>
      </c>
      <c r="T216" s="3">
        <v>1</v>
      </c>
      <c r="U216" s="3">
        <v>202857292.30867499</v>
      </c>
      <c r="V216" s="3">
        <v>-2</v>
      </c>
      <c r="W216" s="3">
        <v>-614875.395498998</v>
      </c>
      <c r="X216" s="3">
        <v>-1</v>
      </c>
      <c r="Y216" s="3">
        <v>20066.872892183699</v>
      </c>
      <c r="Z216" s="3">
        <v>-0.5</v>
      </c>
      <c r="AA216" s="3">
        <v>0</v>
      </c>
      <c r="AB216" s="3">
        <v>0</v>
      </c>
      <c r="AC216" s="3">
        <v>0</v>
      </c>
      <c r="AD216" s="3">
        <v>0</v>
      </c>
      <c r="AE216" s="3">
        <v>0</v>
      </c>
      <c r="AF216" s="3">
        <v>0</v>
      </c>
    </row>
    <row r="217" spans="8:32" x14ac:dyDescent="0.35">
      <c r="H217" s="3" t="str">
        <v>Zn</v>
      </c>
      <c r="I217" s="3" t="str">
        <v>Zinc</v>
      </c>
      <c r="J217" s="3" t="str">
        <v>Gas-1</v>
      </c>
      <c r="K217" s="3">
        <v>130420</v>
      </c>
      <c r="L217" s="3">
        <v>160.989</v>
      </c>
      <c r="M217" s="3" t="str">
        <v/>
      </c>
      <c r="N217" s="3" t="str">
        <v/>
      </c>
      <c r="O217" s="3">
        <v>4500</v>
      </c>
      <c r="P217" s="3">
        <v>6000</v>
      </c>
      <c r="Q217" s="3">
        <v>347.05868129828099</v>
      </c>
      <c r="R217" s="3">
        <v>0</v>
      </c>
      <c r="S217" s="3">
        <v>-2078838620.3229899</v>
      </c>
      <c r="T217" s="3">
        <v>-2</v>
      </c>
      <c r="U217" s="3">
        <v>2830810.9073458598</v>
      </c>
      <c r="V217" s="3">
        <v>-1</v>
      </c>
      <c r="W217" s="3">
        <v>-57182.840535951596</v>
      </c>
      <c r="X217" s="3">
        <v>-0.5</v>
      </c>
      <c r="Y217" s="3">
        <v>0</v>
      </c>
      <c r="Z217" s="3">
        <v>0</v>
      </c>
      <c r="AA217" s="3">
        <v>0</v>
      </c>
      <c r="AB217" s="3">
        <v>0</v>
      </c>
      <c r="AC217" s="3">
        <v>0</v>
      </c>
      <c r="AD217" s="3">
        <v>0</v>
      </c>
      <c r="AE217" s="3">
        <v>0</v>
      </c>
      <c r="AF217" s="3">
        <v>0</v>
      </c>
    </row>
    <row r="218" spans="8:32" x14ac:dyDescent="0.35">
      <c r="H218" s="3" t="str">
        <v>Ga</v>
      </c>
      <c r="I218" s="3" t="str">
        <v>Gallium</v>
      </c>
      <c r="J218" s="3" t="str">
        <v>Solid-1</v>
      </c>
      <c r="K218" s="3">
        <v>0</v>
      </c>
      <c r="L218" s="3">
        <v>40.838000000000001</v>
      </c>
      <c r="M218" s="3" t="str">
        <v/>
      </c>
      <c r="N218" s="3" t="str">
        <v/>
      </c>
      <c r="O218" s="3">
        <v>298.14999999999998</v>
      </c>
      <c r="P218" s="3">
        <v>500</v>
      </c>
      <c r="Q218" s="3">
        <v>-13.2583507684712</v>
      </c>
      <c r="R218" s="3">
        <v>0</v>
      </c>
      <c r="S218" s="3">
        <v>3.8051569537299199E-2</v>
      </c>
      <c r="T218" s="3">
        <v>1</v>
      </c>
      <c r="U218" s="3">
        <v>-2193218.82921449</v>
      </c>
      <c r="V218" s="3">
        <v>-2</v>
      </c>
      <c r="W218" s="3">
        <v>15690.571444174901</v>
      </c>
      <c r="X218" s="3">
        <v>-1</v>
      </c>
      <c r="Y218" s="3">
        <v>0</v>
      </c>
      <c r="Z218" s="3">
        <v>0</v>
      </c>
      <c r="AA218" s="3">
        <v>0</v>
      </c>
      <c r="AB218" s="3">
        <v>0</v>
      </c>
      <c r="AC218" s="3">
        <v>0</v>
      </c>
      <c r="AD218" s="3">
        <v>0</v>
      </c>
      <c r="AE218" s="3">
        <v>0</v>
      </c>
      <c r="AF218" s="3">
        <v>0</v>
      </c>
    </row>
    <row r="219" spans="8:32" x14ac:dyDescent="0.35">
      <c r="H219" s="3" t="str">
        <v>Ga</v>
      </c>
      <c r="I219" s="3" t="str">
        <v>Gallium</v>
      </c>
      <c r="J219" s="3" t="str">
        <v>Liquid-1</v>
      </c>
      <c r="K219" s="3" t="str">
        <v/>
      </c>
      <c r="L219" s="3" t="str">
        <v/>
      </c>
      <c r="M219" s="3">
        <v>5590</v>
      </c>
      <c r="N219" s="3">
        <v>302.92</v>
      </c>
      <c r="O219" s="3">
        <v>298.14999999999998</v>
      </c>
      <c r="P219" s="3">
        <v>3000</v>
      </c>
      <c r="Q219" s="3">
        <v>26.622107784015</v>
      </c>
      <c r="R219" s="3">
        <v>0</v>
      </c>
      <c r="S219" s="3">
        <v>-1.48248771334266E-5</v>
      </c>
      <c r="T219" s="3">
        <v>1</v>
      </c>
      <c r="U219" s="3">
        <v>-137586.38568386799</v>
      </c>
      <c r="V219" s="3">
        <v>-2</v>
      </c>
      <c r="W219" s="3">
        <v>93178033.883371502</v>
      </c>
      <c r="X219" s="3">
        <v>-3</v>
      </c>
      <c r="Y219" s="3">
        <v>0</v>
      </c>
      <c r="Z219" s="3">
        <v>0</v>
      </c>
      <c r="AA219" s="3">
        <v>0</v>
      </c>
      <c r="AB219" s="3">
        <v>0</v>
      </c>
      <c r="AC219" s="3">
        <v>0</v>
      </c>
      <c r="AD219" s="3">
        <v>0</v>
      </c>
      <c r="AE219" s="3">
        <v>0</v>
      </c>
      <c r="AF219" s="3">
        <v>0</v>
      </c>
    </row>
    <row r="220" spans="8:32" x14ac:dyDescent="0.35">
      <c r="H220" s="3" t="str">
        <v>Ga</v>
      </c>
      <c r="I220" s="3" t="str">
        <v>Gallium</v>
      </c>
      <c r="J220" s="3" t="str">
        <v>Gas-1</v>
      </c>
      <c r="K220" s="3">
        <v>271960</v>
      </c>
      <c r="L220" s="3">
        <v>169.042</v>
      </c>
      <c r="M220" s="3" t="str">
        <v/>
      </c>
      <c r="N220" s="3" t="str">
        <v/>
      </c>
      <c r="O220" s="3">
        <v>298.14999999999998</v>
      </c>
      <c r="P220" s="3">
        <v>1000</v>
      </c>
      <c r="Q220" s="3">
        <v>59.3878805500662</v>
      </c>
      <c r="R220" s="3">
        <v>0</v>
      </c>
      <c r="S220" s="3">
        <v>-4.8510720258354699E-2</v>
      </c>
      <c r="T220" s="3">
        <v>1</v>
      </c>
      <c r="U220" s="3">
        <v>104590.117246045</v>
      </c>
      <c r="V220" s="3">
        <v>-2</v>
      </c>
      <c r="W220" s="3">
        <v>1.9293439935064601E-5</v>
      </c>
      <c r="X220" s="3">
        <v>2</v>
      </c>
      <c r="Y220" s="3">
        <v>-6702.9048917692799</v>
      </c>
      <c r="Z220" s="3">
        <v>-1</v>
      </c>
      <c r="AA220" s="3">
        <v>0</v>
      </c>
      <c r="AB220" s="3">
        <v>0</v>
      </c>
      <c r="AC220" s="3">
        <v>0</v>
      </c>
      <c r="AD220" s="3">
        <v>0</v>
      </c>
      <c r="AE220" s="3">
        <v>0</v>
      </c>
      <c r="AF220" s="3">
        <v>0</v>
      </c>
    </row>
    <row r="221" spans="8:32" x14ac:dyDescent="0.35">
      <c r="H221" s="3" t="str">
        <v>Ga</v>
      </c>
      <c r="I221" s="3" t="str">
        <v>Gallium</v>
      </c>
      <c r="J221" s="3" t="str">
        <v>Gas-1</v>
      </c>
      <c r="K221" s="3">
        <v>271960</v>
      </c>
      <c r="L221" s="3">
        <v>169.042</v>
      </c>
      <c r="M221" s="3" t="str">
        <v/>
      </c>
      <c r="N221" s="3" t="str">
        <v/>
      </c>
      <c r="O221" s="3">
        <v>1000</v>
      </c>
      <c r="P221" s="3">
        <v>2476.5700000000002</v>
      </c>
      <c r="Q221" s="3">
        <v>20.964656697748399</v>
      </c>
      <c r="R221" s="3">
        <v>0</v>
      </c>
      <c r="S221" s="3">
        <v>9.1450077533163294E-5</v>
      </c>
      <c r="T221" s="3">
        <v>1</v>
      </c>
      <c r="U221" s="3">
        <v>1181489.1809938301</v>
      </c>
      <c r="V221" s="3">
        <v>-2</v>
      </c>
      <c r="W221" s="3">
        <v>4193.45617104558</v>
      </c>
      <c r="X221" s="3">
        <v>-1</v>
      </c>
      <c r="Y221" s="3">
        <v>-90.402139922015493</v>
      </c>
      <c r="Z221" s="3">
        <v>-0.5</v>
      </c>
      <c r="AA221" s="3">
        <v>0</v>
      </c>
      <c r="AB221" s="3">
        <v>0</v>
      </c>
      <c r="AC221" s="3">
        <v>0</v>
      </c>
      <c r="AD221" s="3">
        <v>0</v>
      </c>
      <c r="AE221" s="3">
        <v>0</v>
      </c>
      <c r="AF221" s="3">
        <v>0</v>
      </c>
    </row>
    <row r="222" spans="8:32" x14ac:dyDescent="0.35">
      <c r="H222" s="3" t="str">
        <v>Ga</v>
      </c>
      <c r="I222" s="3" t="str">
        <v>Gallium</v>
      </c>
      <c r="J222" s="3" t="str">
        <v>Gas-1</v>
      </c>
      <c r="K222" s="3">
        <v>271960</v>
      </c>
      <c r="L222" s="3">
        <v>169.042</v>
      </c>
      <c r="M222" s="3" t="str">
        <v/>
      </c>
      <c r="N222" s="3" t="str">
        <v/>
      </c>
      <c r="O222" s="3">
        <v>2476.5700000000002</v>
      </c>
      <c r="P222" s="3">
        <v>4000</v>
      </c>
      <c r="Q222" s="3">
        <v>-32.4569488882371</v>
      </c>
      <c r="R222" s="3">
        <v>0</v>
      </c>
      <c r="S222" s="3">
        <v>2.16613087721001E-3</v>
      </c>
      <c r="T222" s="3">
        <v>1</v>
      </c>
      <c r="U222" s="3">
        <v>48445535.372108497</v>
      </c>
      <c r="V222" s="3">
        <v>-2</v>
      </c>
      <c r="W222" s="3">
        <v>-146967.28809944901</v>
      </c>
      <c r="X222" s="3">
        <v>-1</v>
      </c>
      <c r="Y222" s="3">
        <v>4966.42527026282</v>
      </c>
      <c r="Z222" s="3">
        <v>-0.5</v>
      </c>
      <c r="AA222" s="3">
        <v>0</v>
      </c>
      <c r="AB222" s="3">
        <v>0</v>
      </c>
      <c r="AC222" s="3">
        <v>0</v>
      </c>
      <c r="AD222" s="3">
        <v>0</v>
      </c>
      <c r="AE222" s="3">
        <v>0</v>
      </c>
      <c r="AF222" s="3">
        <v>0</v>
      </c>
    </row>
    <row r="223" spans="8:32" x14ac:dyDescent="0.35">
      <c r="H223" s="3" t="str">
        <v>Ga</v>
      </c>
      <c r="I223" s="3" t="str">
        <v>Gallium</v>
      </c>
      <c r="J223" s="3" t="str">
        <v>Gas-1</v>
      </c>
      <c r="K223" s="3">
        <v>271960</v>
      </c>
      <c r="L223" s="3">
        <v>169.042</v>
      </c>
      <c r="M223" s="3" t="str">
        <v/>
      </c>
      <c r="N223" s="3" t="str">
        <v/>
      </c>
      <c r="O223" s="3">
        <v>4000</v>
      </c>
      <c r="P223" s="3">
        <v>6000</v>
      </c>
      <c r="Q223" s="3">
        <v>112.37990787552199</v>
      </c>
      <c r="R223" s="3">
        <v>0</v>
      </c>
      <c r="S223" s="3">
        <v>-497870826.26547199</v>
      </c>
      <c r="T223" s="3">
        <v>-2</v>
      </c>
      <c r="U223" s="3">
        <v>736473.56946331996</v>
      </c>
      <c r="V223" s="3">
        <v>-1</v>
      </c>
      <c r="W223" s="3">
        <v>-15454.790684952801</v>
      </c>
      <c r="X223" s="3">
        <v>-0.5</v>
      </c>
      <c r="Y223" s="3">
        <v>0</v>
      </c>
      <c r="Z223" s="3">
        <v>0</v>
      </c>
      <c r="AA223" s="3">
        <v>0</v>
      </c>
      <c r="AB223" s="3">
        <v>0</v>
      </c>
      <c r="AC223" s="3">
        <v>0</v>
      </c>
      <c r="AD223" s="3">
        <v>0</v>
      </c>
      <c r="AE223" s="3">
        <v>0</v>
      </c>
      <c r="AF223" s="3">
        <v>0</v>
      </c>
    </row>
    <row r="224" spans="8:32" x14ac:dyDescent="0.35">
      <c r="H224" s="3" t="str">
        <v>Ge</v>
      </c>
      <c r="I224" s="3" t="str">
        <v>Germanium</v>
      </c>
      <c r="J224" s="3" t="str">
        <v>Solid</v>
      </c>
      <c r="K224" s="3">
        <v>0</v>
      </c>
      <c r="L224" s="3">
        <v>31.087119999999999</v>
      </c>
      <c r="M224" s="3" t="str">
        <v/>
      </c>
      <c r="N224" s="3" t="str">
        <v/>
      </c>
      <c r="O224" s="3">
        <v>298</v>
      </c>
      <c r="P224" s="3">
        <v>600</v>
      </c>
      <c r="Q224" s="3">
        <v>6.1580000000000004</v>
      </c>
      <c r="R224" s="3">
        <v>0</v>
      </c>
      <c r="S224" s="3">
        <v>1.9000000000000001E-5</v>
      </c>
      <c r="T224" s="3">
        <v>1</v>
      </c>
      <c r="U224" s="3">
        <v>-51700</v>
      </c>
      <c r="V224" s="3">
        <v>-2</v>
      </c>
      <c r="W224" s="3">
        <v>0</v>
      </c>
      <c r="X224" s="3">
        <v>0</v>
      </c>
      <c r="Y224" s="3">
        <v>0</v>
      </c>
      <c r="Z224" s="3">
        <v>0</v>
      </c>
      <c r="AA224" s="3">
        <v>0</v>
      </c>
      <c r="AB224" s="3">
        <v>0</v>
      </c>
      <c r="AC224" s="3">
        <v>0</v>
      </c>
      <c r="AD224" s="3">
        <v>0</v>
      </c>
      <c r="AE224" s="3">
        <v>0</v>
      </c>
      <c r="AF224" s="3">
        <v>0</v>
      </c>
    </row>
    <row r="225" spans="8:32" x14ac:dyDescent="0.35">
      <c r="H225" s="3" t="str">
        <v>Ge</v>
      </c>
      <c r="I225" s="3" t="str">
        <v>Germanium</v>
      </c>
      <c r="J225" s="3" t="str">
        <v>Solid</v>
      </c>
      <c r="K225" s="3">
        <v>0</v>
      </c>
      <c r="L225" s="3">
        <v>31.087119999999999</v>
      </c>
      <c r="M225" s="3" t="str">
        <v/>
      </c>
      <c r="N225" s="3" t="str">
        <v/>
      </c>
      <c r="O225" s="3">
        <v>600</v>
      </c>
      <c r="P225" s="3">
        <v>900</v>
      </c>
      <c r="Q225" s="3">
        <v>5.42</v>
      </c>
      <c r="R225" s="3">
        <v>0</v>
      </c>
      <c r="S225" s="3">
        <v>9.8999999999999999E-4</v>
      </c>
      <c r="T225" s="3">
        <v>1</v>
      </c>
      <c r="U225" s="3">
        <v>0</v>
      </c>
      <c r="V225" s="3">
        <v>0</v>
      </c>
      <c r="W225" s="3">
        <v>0</v>
      </c>
      <c r="X225" s="3">
        <v>0</v>
      </c>
      <c r="Y225" s="3">
        <v>0</v>
      </c>
      <c r="Z225" s="3">
        <v>0</v>
      </c>
      <c r="AA225" s="3">
        <v>0</v>
      </c>
      <c r="AB225" s="3">
        <v>0</v>
      </c>
      <c r="AC225" s="3">
        <v>0</v>
      </c>
      <c r="AD225" s="3">
        <v>0</v>
      </c>
      <c r="AE225" s="3">
        <v>0</v>
      </c>
      <c r="AF225" s="3">
        <v>0</v>
      </c>
    </row>
    <row r="226" spans="8:32" x14ac:dyDescent="0.35">
      <c r="H226" s="3" t="str">
        <v>Ge</v>
      </c>
      <c r="I226" s="3" t="str">
        <v>Germanium</v>
      </c>
      <c r="J226" s="3" t="str">
        <v>Solid</v>
      </c>
      <c r="K226" s="3">
        <v>0</v>
      </c>
      <c r="L226" s="3">
        <v>31.087119999999999</v>
      </c>
      <c r="M226" s="3" t="str">
        <v/>
      </c>
      <c r="N226" s="3" t="str">
        <v/>
      </c>
      <c r="O226" s="3">
        <v>900</v>
      </c>
      <c r="P226" s="3">
        <v>1210</v>
      </c>
      <c r="Q226" s="3">
        <v>4.7450000000000001</v>
      </c>
      <c r="R226" s="3">
        <v>0</v>
      </c>
      <c r="S226" s="3">
        <v>1.758E-3</v>
      </c>
      <c r="T226" s="3">
        <v>1</v>
      </c>
      <c r="U226" s="3">
        <v>0</v>
      </c>
      <c r="V226" s="3">
        <v>0</v>
      </c>
      <c r="W226" s="3">
        <v>0</v>
      </c>
      <c r="X226" s="3">
        <v>0</v>
      </c>
      <c r="Y226" s="3">
        <v>0</v>
      </c>
      <c r="Z226" s="3">
        <v>0</v>
      </c>
      <c r="AA226" s="3">
        <v>0</v>
      </c>
      <c r="AB226" s="3">
        <v>0</v>
      </c>
      <c r="AC226" s="3">
        <v>0</v>
      </c>
      <c r="AD226" s="3">
        <v>0</v>
      </c>
      <c r="AE226" s="3">
        <v>0</v>
      </c>
      <c r="AF226" s="3">
        <v>0</v>
      </c>
    </row>
    <row r="227" spans="8:32" x14ac:dyDescent="0.35">
      <c r="H227" s="3" t="str">
        <v>Ge</v>
      </c>
      <c r="I227" s="3" t="str">
        <v>Germanium</v>
      </c>
      <c r="J227" s="3" t="str">
        <v>Liquid</v>
      </c>
      <c r="K227" s="3" t="str">
        <v/>
      </c>
      <c r="L227" s="3" t="str">
        <v/>
      </c>
      <c r="M227" s="3">
        <v>36944.720000000001</v>
      </c>
      <c r="N227" s="3">
        <v>1210.4000000000001</v>
      </c>
      <c r="O227" s="3">
        <v>1210</v>
      </c>
      <c r="P227" s="3">
        <v>2600</v>
      </c>
      <c r="Q227" s="3">
        <v>6.6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>
        <v>0</v>
      </c>
      <c r="X227" s="3">
        <v>0</v>
      </c>
      <c r="Y227" s="3">
        <v>0</v>
      </c>
      <c r="Z227" s="3">
        <v>0</v>
      </c>
      <c r="AA227" s="3">
        <v>0</v>
      </c>
      <c r="AB227" s="3">
        <v>0</v>
      </c>
      <c r="AC227" s="3">
        <v>0</v>
      </c>
      <c r="AD227" s="3">
        <v>0</v>
      </c>
      <c r="AE227" s="3">
        <v>0</v>
      </c>
      <c r="AF227" s="3">
        <v>0</v>
      </c>
    </row>
    <row r="228" spans="8:32" x14ac:dyDescent="0.35">
      <c r="H228" s="3" t="str">
        <v>As</v>
      </c>
      <c r="I228" s="3" t="str">
        <v>Arsenic</v>
      </c>
      <c r="J228" s="3" t="str">
        <v>Rhombohedral</v>
      </c>
      <c r="K228" s="3">
        <v>0</v>
      </c>
      <c r="L228" s="3">
        <v>35.689520000000002</v>
      </c>
      <c r="M228" s="3" t="str">
        <v/>
      </c>
      <c r="N228" s="3" t="str">
        <v/>
      </c>
      <c r="O228" s="3">
        <v>298.14999999999998</v>
      </c>
      <c r="P228" s="3">
        <v>1200</v>
      </c>
      <c r="Q228" s="3">
        <v>5.5722778000000002</v>
      </c>
      <c r="R228" s="3">
        <v>0</v>
      </c>
      <c r="S228" s="3">
        <v>1.2983504999999999E-3</v>
      </c>
      <c r="T228" s="3">
        <v>1</v>
      </c>
      <c r="U228" s="3">
        <v>-5544.7214999999997</v>
      </c>
      <c r="V228" s="3">
        <v>-2</v>
      </c>
      <c r="W228" s="3">
        <v>0</v>
      </c>
      <c r="X228" s="3">
        <v>0</v>
      </c>
      <c r="Y228" s="3">
        <v>0</v>
      </c>
      <c r="Z228" s="3">
        <v>0</v>
      </c>
      <c r="AA228" s="3">
        <v>0</v>
      </c>
      <c r="AB228" s="3">
        <v>0</v>
      </c>
      <c r="AC228" s="3">
        <v>0</v>
      </c>
      <c r="AD228" s="3">
        <v>0</v>
      </c>
      <c r="AE228" s="3">
        <v>0</v>
      </c>
      <c r="AF228" s="3">
        <v>0</v>
      </c>
    </row>
    <row r="229" spans="8:32" x14ac:dyDescent="0.35">
      <c r="H229" s="3" t="str">
        <v>As</v>
      </c>
      <c r="I229" s="3" t="str">
        <v>Arsenic</v>
      </c>
      <c r="J229" s="3" t="str">
        <v>Liquid</v>
      </c>
      <c r="K229" s="3" t="str">
        <v/>
      </c>
      <c r="L229" s="3" t="str">
        <v/>
      </c>
      <c r="M229" s="3">
        <v>22399.999997976</v>
      </c>
      <c r="N229" s="3">
        <v>1090</v>
      </c>
      <c r="O229" s="3">
        <v>298.14999999999998</v>
      </c>
      <c r="P229" s="3">
        <v>500</v>
      </c>
      <c r="Q229" s="3">
        <v>5.5722778000000002</v>
      </c>
      <c r="R229" s="3">
        <v>0</v>
      </c>
      <c r="S229" s="3">
        <v>1.2983504999999999E-3</v>
      </c>
      <c r="T229" s="3">
        <v>1</v>
      </c>
      <c r="U229" s="3">
        <v>-5544.7214999999997</v>
      </c>
      <c r="V229" s="3">
        <v>-2</v>
      </c>
      <c r="W229" s="3">
        <v>0</v>
      </c>
      <c r="X229" s="3">
        <v>0</v>
      </c>
      <c r="Y229" s="3">
        <v>0</v>
      </c>
      <c r="Z229" s="3">
        <v>0</v>
      </c>
      <c r="AA229" s="3">
        <v>0</v>
      </c>
      <c r="AB229" s="3">
        <v>0</v>
      </c>
      <c r="AC229" s="3">
        <v>0</v>
      </c>
      <c r="AD229" s="3">
        <v>0</v>
      </c>
      <c r="AE229" s="3">
        <v>0</v>
      </c>
      <c r="AF229" s="3">
        <v>0</v>
      </c>
    </row>
    <row r="230" spans="8:32" x14ac:dyDescent="0.35">
      <c r="H230" s="3" t="str">
        <v>As</v>
      </c>
      <c r="I230" s="3" t="str">
        <v>Arsenic</v>
      </c>
      <c r="J230" s="3" t="str">
        <v>Liquid</v>
      </c>
      <c r="K230" s="3" t="str">
        <v/>
      </c>
      <c r="L230" s="3" t="str">
        <v/>
      </c>
      <c r="M230" s="3">
        <v>22399.999997976</v>
      </c>
      <c r="N230" s="3">
        <v>1090</v>
      </c>
      <c r="O230" s="3">
        <v>500</v>
      </c>
      <c r="P230" s="3">
        <v>1090</v>
      </c>
      <c r="Q230" s="3">
        <v>-92.255805749999993</v>
      </c>
      <c r="R230" s="3">
        <v>0</v>
      </c>
      <c r="S230" s="3">
        <v>0.24425756700000001</v>
      </c>
      <c r="T230" s="3">
        <v>1</v>
      </c>
      <c r="U230" s="3">
        <v>-2.0612728000000001E-4</v>
      </c>
      <c r="V230" s="3">
        <v>2</v>
      </c>
      <c r="W230" s="3">
        <v>5097298.9730000002</v>
      </c>
      <c r="X230" s="3">
        <v>-2</v>
      </c>
      <c r="Y230" s="3">
        <v>5.9751434030000004E-8</v>
      </c>
      <c r="Z230" s="3">
        <v>3</v>
      </c>
      <c r="AA230" s="3">
        <v>0</v>
      </c>
      <c r="AB230" s="3">
        <v>0</v>
      </c>
      <c r="AC230" s="3">
        <v>0</v>
      </c>
      <c r="AD230" s="3">
        <v>0</v>
      </c>
      <c r="AE230" s="3">
        <v>0</v>
      </c>
      <c r="AF230" s="3">
        <v>0</v>
      </c>
    </row>
    <row r="231" spans="8:32" x14ac:dyDescent="0.35">
      <c r="H231" s="3" t="str">
        <v>As</v>
      </c>
      <c r="I231" s="3" t="str">
        <v>Arsenic</v>
      </c>
      <c r="J231" s="3" t="str">
        <v>Liquid</v>
      </c>
      <c r="K231" s="3" t="str">
        <v/>
      </c>
      <c r="L231" s="3" t="str">
        <v/>
      </c>
      <c r="M231" s="3">
        <v>22399.999997976</v>
      </c>
      <c r="N231" s="3">
        <v>1090</v>
      </c>
      <c r="O231" s="3">
        <v>1090</v>
      </c>
      <c r="P231" s="3">
        <v>1400</v>
      </c>
      <c r="Q231" s="3">
        <v>10.75525813</v>
      </c>
      <c r="R231" s="3">
        <v>0</v>
      </c>
      <c r="S231" s="3">
        <v>0</v>
      </c>
      <c r="T231" s="3">
        <v>0</v>
      </c>
      <c r="U231" s="3">
        <v>0</v>
      </c>
      <c r="V231" s="3">
        <v>0</v>
      </c>
      <c r="W231" s="3">
        <v>0</v>
      </c>
      <c r="X231" s="3">
        <v>0</v>
      </c>
      <c r="Y231" s="3">
        <v>0</v>
      </c>
      <c r="Z231" s="3">
        <v>0</v>
      </c>
      <c r="AA231" s="3">
        <v>0</v>
      </c>
      <c r="AB231" s="3">
        <v>0</v>
      </c>
      <c r="AC231" s="3">
        <v>0</v>
      </c>
      <c r="AD231" s="3">
        <v>0</v>
      </c>
      <c r="AE231" s="3">
        <v>0</v>
      </c>
      <c r="AF231" s="3">
        <v>0</v>
      </c>
    </row>
    <row r="232" spans="8:32" x14ac:dyDescent="0.35">
      <c r="H232" s="3" t="str">
        <v>As</v>
      </c>
      <c r="I232" s="3" t="str">
        <v>Arsenic</v>
      </c>
      <c r="J232" s="3" t="str">
        <v>Gas_monatomic</v>
      </c>
      <c r="K232" s="3">
        <v>301750.08</v>
      </c>
      <c r="L232" s="3">
        <v>174.100424</v>
      </c>
      <c r="M232" s="3" t="str">
        <v/>
      </c>
      <c r="N232" s="3" t="str">
        <v/>
      </c>
      <c r="O232" s="3">
        <v>298.14999999999998</v>
      </c>
      <c r="P232" s="3">
        <v>1200</v>
      </c>
      <c r="Q232" s="3">
        <v>4.968</v>
      </c>
      <c r="R232" s="3">
        <v>0</v>
      </c>
      <c r="S232" s="3">
        <v>0</v>
      </c>
      <c r="T232" s="3">
        <v>0</v>
      </c>
      <c r="U232" s="3">
        <v>0</v>
      </c>
      <c r="V232" s="3">
        <v>0</v>
      </c>
      <c r="W232" s="3">
        <v>0</v>
      </c>
      <c r="X232" s="3">
        <v>0</v>
      </c>
      <c r="Y232" s="3">
        <v>0</v>
      </c>
      <c r="Z232" s="3">
        <v>0</v>
      </c>
      <c r="AA232" s="3">
        <v>0</v>
      </c>
      <c r="AB232" s="3">
        <v>0</v>
      </c>
      <c r="AC232" s="3">
        <v>0</v>
      </c>
      <c r="AD232" s="3">
        <v>0</v>
      </c>
      <c r="AE232" s="3">
        <v>0</v>
      </c>
      <c r="AF232" s="3">
        <v>0</v>
      </c>
    </row>
    <row r="233" spans="8:32" x14ac:dyDescent="0.35">
      <c r="H233" s="3" t="str">
        <v>Se</v>
      </c>
      <c r="I233" s="3" t="str">
        <v>Selenium</v>
      </c>
      <c r="J233" s="3" t="str">
        <v>Trigonal</v>
      </c>
      <c r="K233" s="3">
        <v>0</v>
      </c>
      <c r="L233" s="3">
        <v>42.258400000000002</v>
      </c>
      <c r="M233" s="3" t="str">
        <v/>
      </c>
      <c r="N233" s="3" t="str">
        <v/>
      </c>
      <c r="O233" s="3">
        <v>80</v>
      </c>
      <c r="P233" s="3">
        <v>298.14999999999998</v>
      </c>
      <c r="Q233" s="3">
        <v>51.358901000000003</v>
      </c>
      <c r="R233" s="3">
        <v>0</v>
      </c>
      <c r="S233" s="3">
        <v>1.1673817999999999E-5</v>
      </c>
      <c r="T233" s="3">
        <v>2</v>
      </c>
      <c r="U233" s="3">
        <v>-0.70306524999999997</v>
      </c>
      <c r="V233" s="3">
        <v>0.5</v>
      </c>
      <c r="W233" s="3">
        <v>-262.55799000000002</v>
      </c>
      <c r="X233" s="3">
        <v>-0.5</v>
      </c>
      <c r="Y233" s="3">
        <v>0</v>
      </c>
      <c r="Z233" s="3">
        <v>0</v>
      </c>
      <c r="AA233" s="3">
        <v>0</v>
      </c>
      <c r="AB233" s="3">
        <v>0</v>
      </c>
      <c r="AC233" s="3">
        <v>0</v>
      </c>
      <c r="AD233" s="3">
        <v>0</v>
      </c>
      <c r="AE233" s="3">
        <v>0</v>
      </c>
      <c r="AF233" s="3">
        <v>0</v>
      </c>
    </row>
    <row r="234" spans="8:32" x14ac:dyDescent="0.35">
      <c r="H234" s="3" t="str">
        <v>Se</v>
      </c>
      <c r="I234" s="3" t="str">
        <v>Selenium</v>
      </c>
      <c r="J234" s="3" t="str">
        <v>Trigonal</v>
      </c>
      <c r="K234" s="3">
        <v>0</v>
      </c>
      <c r="L234" s="3">
        <v>42.258400000000002</v>
      </c>
      <c r="M234" s="3" t="str">
        <v/>
      </c>
      <c r="N234" s="3" t="str">
        <v/>
      </c>
      <c r="O234" s="3">
        <v>298.14999999999998</v>
      </c>
      <c r="P234" s="3">
        <v>881.3</v>
      </c>
      <c r="Q234" s="3">
        <v>19.433</v>
      </c>
      <c r="R234" s="3">
        <v>0</v>
      </c>
      <c r="S234" s="3">
        <v>2.2676000000000002E-2</v>
      </c>
      <c r="T234" s="3">
        <v>1</v>
      </c>
      <c r="U234" s="3">
        <v>-1.2865E-5</v>
      </c>
      <c r="V234" s="3">
        <v>2</v>
      </c>
      <c r="W234" s="3">
        <v>0</v>
      </c>
      <c r="X234" s="3">
        <v>0</v>
      </c>
      <c r="Y234" s="3">
        <v>0</v>
      </c>
      <c r="Z234" s="3">
        <v>0</v>
      </c>
      <c r="AA234" s="3">
        <v>0</v>
      </c>
      <c r="AB234" s="3">
        <v>0</v>
      </c>
      <c r="AC234" s="3">
        <v>0</v>
      </c>
      <c r="AD234" s="3">
        <v>0</v>
      </c>
      <c r="AE234" s="3">
        <v>0</v>
      </c>
      <c r="AF234" s="3">
        <v>0</v>
      </c>
    </row>
    <row r="235" spans="8:32" x14ac:dyDescent="0.35">
      <c r="H235" s="3" t="str">
        <v>Se</v>
      </c>
      <c r="I235" s="3" t="str">
        <v>Selenium</v>
      </c>
      <c r="J235" s="3" t="str">
        <v>Trigonal</v>
      </c>
      <c r="K235" s="3">
        <v>0</v>
      </c>
      <c r="L235" s="3">
        <v>42.258400000000002</v>
      </c>
      <c r="M235" s="3" t="str">
        <v/>
      </c>
      <c r="N235" s="3" t="str">
        <v/>
      </c>
      <c r="O235" s="3">
        <v>881.3</v>
      </c>
      <c r="P235" s="3">
        <v>1800</v>
      </c>
      <c r="Q235" s="3">
        <v>29.425000000000001</v>
      </c>
      <c r="R235" s="3">
        <v>0</v>
      </c>
      <c r="S235" s="3">
        <v>0</v>
      </c>
      <c r="T235" s="3">
        <v>0</v>
      </c>
      <c r="U235" s="3">
        <v>0</v>
      </c>
      <c r="V235" s="3">
        <v>0</v>
      </c>
      <c r="W235" s="3">
        <v>0</v>
      </c>
      <c r="X235" s="3">
        <v>0</v>
      </c>
      <c r="Y235" s="3">
        <v>0</v>
      </c>
      <c r="Z235" s="3">
        <v>0</v>
      </c>
      <c r="AA235" s="3">
        <v>0</v>
      </c>
      <c r="AB235" s="3">
        <v>0</v>
      </c>
      <c r="AC235" s="3">
        <v>0</v>
      </c>
      <c r="AD235" s="3">
        <v>0</v>
      </c>
      <c r="AE235" s="3">
        <v>0</v>
      </c>
      <c r="AF235" s="3">
        <v>0</v>
      </c>
    </row>
    <row r="236" spans="8:32" x14ac:dyDescent="0.35">
      <c r="H236" s="3" t="str">
        <v>Se</v>
      </c>
      <c r="I236" s="3" t="str">
        <v>Selenium</v>
      </c>
      <c r="J236" s="3" t="str">
        <v>Liquid</v>
      </c>
      <c r="K236" s="3" t="str">
        <v/>
      </c>
      <c r="L236" s="3" t="str">
        <v/>
      </c>
      <c r="M236" s="3">
        <v>5857.6</v>
      </c>
      <c r="N236" s="3">
        <v>494.3</v>
      </c>
      <c r="O236" s="3">
        <v>80</v>
      </c>
      <c r="P236" s="3">
        <v>210</v>
      </c>
      <c r="Q236" s="3">
        <v>44.263815000000001</v>
      </c>
      <c r="R236" s="3">
        <v>0</v>
      </c>
      <c r="S236" s="3">
        <v>-1.4811939999999999E-2</v>
      </c>
      <c r="T236" s="3">
        <v>1</v>
      </c>
      <c r="U236" s="3">
        <v>11356.758</v>
      </c>
      <c r="V236" s="3">
        <v>-2</v>
      </c>
      <c r="W236" s="3">
        <v>-256.75099</v>
      </c>
      <c r="X236" s="3">
        <v>-0.5</v>
      </c>
      <c r="Y236" s="3">
        <v>0</v>
      </c>
      <c r="Z236" s="3">
        <v>0</v>
      </c>
      <c r="AA236" s="3">
        <v>0</v>
      </c>
      <c r="AB236" s="3">
        <v>0</v>
      </c>
      <c r="AC236" s="3">
        <v>0</v>
      </c>
      <c r="AD236" s="3">
        <v>0</v>
      </c>
      <c r="AE236" s="3">
        <v>0</v>
      </c>
      <c r="AF236" s="3">
        <v>0</v>
      </c>
    </row>
    <row r="237" spans="8:32" x14ac:dyDescent="0.35">
      <c r="H237" s="3" t="str">
        <v>Se</v>
      </c>
      <c r="I237" s="3" t="str">
        <v>Selenium</v>
      </c>
      <c r="J237" s="3" t="str">
        <v>Liquid</v>
      </c>
      <c r="K237" s="3" t="str">
        <v/>
      </c>
      <c r="L237" s="3" t="str">
        <v/>
      </c>
      <c r="M237" s="3">
        <v>5857.6</v>
      </c>
      <c r="N237" s="3">
        <v>494.3</v>
      </c>
      <c r="O237" s="3">
        <v>210</v>
      </c>
      <c r="P237" s="3">
        <v>303.39999999999998</v>
      </c>
      <c r="Q237" s="3">
        <v>11.753500000000001</v>
      </c>
      <c r="R237" s="3">
        <v>0</v>
      </c>
      <c r="S237" s="3">
        <v>4.7225000000000003E-2</v>
      </c>
      <c r="T237" s="3">
        <v>1</v>
      </c>
      <c r="U237" s="3">
        <v>85927.9</v>
      </c>
      <c r="V237" s="3">
        <v>-2</v>
      </c>
      <c r="W237" s="3">
        <v>0</v>
      </c>
      <c r="X237" s="3">
        <v>0</v>
      </c>
      <c r="Y237" s="3">
        <v>0</v>
      </c>
      <c r="Z237" s="3">
        <v>0</v>
      </c>
      <c r="AA237" s="3">
        <v>0</v>
      </c>
      <c r="AB237" s="3">
        <v>0</v>
      </c>
      <c r="AC237" s="3">
        <v>0</v>
      </c>
      <c r="AD237" s="3">
        <v>0</v>
      </c>
      <c r="AE237" s="3">
        <v>0</v>
      </c>
      <c r="AF237" s="3">
        <v>0</v>
      </c>
    </row>
    <row r="238" spans="8:32" x14ac:dyDescent="0.35">
      <c r="H238" s="3" t="str">
        <v>Se</v>
      </c>
      <c r="I238" s="3" t="str">
        <v>Selenium</v>
      </c>
      <c r="J238" s="3" t="str">
        <v>Liquid</v>
      </c>
      <c r="K238" s="3" t="str">
        <v/>
      </c>
      <c r="L238" s="3" t="str">
        <v/>
      </c>
      <c r="M238" s="3">
        <v>5857.6</v>
      </c>
      <c r="N238" s="3">
        <v>494.3</v>
      </c>
      <c r="O238" s="3">
        <v>303.39999999999998</v>
      </c>
      <c r="P238" s="3">
        <v>1000</v>
      </c>
      <c r="Q238" s="3">
        <v>52.408000000000001</v>
      </c>
      <c r="R238" s="3">
        <v>0</v>
      </c>
      <c r="S238" s="3">
        <v>-4.9765999999999998E-2</v>
      </c>
      <c r="T238" s="3">
        <v>1</v>
      </c>
      <c r="U238" s="3">
        <v>3.2607999999999997E-5</v>
      </c>
      <c r="V238" s="3">
        <v>2</v>
      </c>
      <c r="W238" s="3">
        <v>0</v>
      </c>
      <c r="X238" s="3">
        <v>0</v>
      </c>
      <c r="Y238" s="3">
        <v>0</v>
      </c>
      <c r="Z238" s="3">
        <v>0</v>
      </c>
      <c r="AA238" s="3">
        <v>0</v>
      </c>
      <c r="AB238" s="3">
        <v>0</v>
      </c>
      <c r="AC238" s="3">
        <v>0</v>
      </c>
      <c r="AD238" s="3">
        <v>0</v>
      </c>
      <c r="AE238" s="3">
        <v>0</v>
      </c>
      <c r="AF238" s="3">
        <v>0</v>
      </c>
    </row>
    <row r="239" spans="8:32" x14ac:dyDescent="0.35">
      <c r="H239" s="3" t="str">
        <v>Se</v>
      </c>
      <c r="I239" s="3" t="str">
        <v>Selenium</v>
      </c>
      <c r="J239" s="3" t="str">
        <v>Liquid</v>
      </c>
      <c r="K239" s="3" t="str">
        <v/>
      </c>
      <c r="L239" s="3" t="str">
        <v/>
      </c>
      <c r="M239" s="3">
        <v>5857.6</v>
      </c>
      <c r="N239" s="3">
        <v>494.3</v>
      </c>
      <c r="O239" s="3">
        <v>1000</v>
      </c>
      <c r="P239" s="3">
        <v>1800</v>
      </c>
      <c r="Q239" s="3">
        <v>35.250999999999998</v>
      </c>
      <c r="R239" s="3">
        <v>0</v>
      </c>
      <c r="S239" s="3">
        <v>0</v>
      </c>
      <c r="T239" s="3">
        <v>0</v>
      </c>
      <c r="U239" s="3">
        <v>0</v>
      </c>
      <c r="V239" s="3">
        <v>0</v>
      </c>
      <c r="W239" s="3">
        <v>0</v>
      </c>
      <c r="X239" s="3">
        <v>0</v>
      </c>
      <c r="Y239" s="3">
        <v>0</v>
      </c>
      <c r="Z239" s="3">
        <v>0</v>
      </c>
      <c r="AA239" s="3">
        <v>0</v>
      </c>
      <c r="AB239" s="3">
        <v>0</v>
      </c>
      <c r="AC239" s="3">
        <v>0</v>
      </c>
      <c r="AD239" s="3">
        <v>0</v>
      </c>
      <c r="AE239" s="3">
        <v>0</v>
      </c>
      <c r="AF239" s="3">
        <v>0</v>
      </c>
    </row>
    <row r="240" spans="8:32" x14ac:dyDescent="0.35">
      <c r="H240" s="3" t="str">
        <v>Se</v>
      </c>
      <c r="I240" s="3" t="str">
        <v>Selenium</v>
      </c>
      <c r="J240" s="3" t="str">
        <v>Gas_monatomic</v>
      </c>
      <c r="K240" s="3">
        <v>237591.53294</v>
      </c>
      <c r="L240" s="3">
        <v>176.62752302000001</v>
      </c>
      <c r="M240" s="3" t="str">
        <v/>
      </c>
      <c r="N240" s="3" t="str">
        <v/>
      </c>
      <c r="O240" s="3">
        <v>298</v>
      </c>
      <c r="P240" s="3">
        <v>1500</v>
      </c>
      <c r="Q240" s="3">
        <v>14.941146850999999</v>
      </c>
      <c r="R240" s="3">
        <v>0</v>
      </c>
      <c r="S240" s="3">
        <v>1.5232125854E-2</v>
      </c>
      <c r="T240" s="3">
        <v>1</v>
      </c>
      <c r="U240" s="3">
        <v>181312.67279000001</v>
      </c>
      <c r="V240" s="3">
        <v>-2</v>
      </c>
      <c r="W240" s="3">
        <v>-8.1242248536000004E-6</v>
      </c>
      <c r="X240" s="3">
        <v>2</v>
      </c>
      <c r="Y240" s="3">
        <v>1.2273826904000001E-9</v>
      </c>
      <c r="Z240" s="3">
        <v>3</v>
      </c>
      <c r="AA240" s="3">
        <v>0</v>
      </c>
      <c r="AB240" s="3">
        <v>0</v>
      </c>
      <c r="AC240" s="3">
        <v>0</v>
      </c>
      <c r="AD240" s="3">
        <v>0</v>
      </c>
      <c r="AE240" s="3">
        <v>0</v>
      </c>
      <c r="AF240" s="3">
        <v>0</v>
      </c>
    </row>
    <row r="241" spans="8:32" x14ac:dyDescent="0.35">
      <c r="H241" s="3" t="str">
        <v>Br2</v>
      </c>
      <c r="I241" s="3" t="str">
        <v>Bromine</v>
      </c>
      <c r="J241" s="3" t="str">
        <v>Liquid-1</v>
      </c>
      <c r="K241" s="3">
        <v>0</v>
      </c>
      <c r="L241" s="3">
        <v>152.20599999999999</v>
      </c>
      <c r="M241" s="3" t="str">
        <v/>
      </c>
      <c r="N241" s="3" t="str">
        <v/>
      </c>
      <c r="O241" s="3">
        <v>298.14999999999998</v>
      </c>
      <c r="P241" s="3">
        <v>332.5</v>
      </c>
      <c r="Q241" s="3">
        <v>78.765389058358195</v>
      </c>
      <c r="R241" s="3">
        <v>0</v>
      </c>
      <c r="S241" s="3">
        <v>-1.04186707344999E-2</v>
      </c>
      <c r="T241" s="3">
        <v>1</v>
      </c>
      <c r="U241" s="3">
        <v>0</v>
      </c>
      <c r="V241" s="3">
        <v>0</v>
      </c>
      <c r="W241" s="3">
        <v>0</v>
      </c>
      <c r="X241" s="3">
        <v>0</v>
      </c>
      <c r="Y241" s="3">
        <v>0</v>
      </c>
      <c r="Z241" s="3">
        <v>0</v>
      </c>
      <c r="AA241" s="3">
        <v>0</v>
      </c>
      <c r="AB241" s="3">
        <v>0</v>
      </c>
      <c r="AC241" s="3">
        <v>0</v>
      </c>
      <c r="AD241" s="3">
        <v>0</v>
      </c>
      <c r="AE241" s="3">
        <v>0</v>
      </c>
      <c r="AF241" s="3">
        <v>0</v>
      </c>
    </row>
    <row r="242" spans="8:32" x14ac:dyDescent="0.35">
      <c r="H242" s="3" t="str">
        <v>Br2</v>
      </c>
      <c r="I242" s="3" t="str">
        <v>Bromine</v>
      </c>
      <c r="J242" s="3" t="str">
        <v>Liquid-1</v>
      </c>
      <c r="K242" s="3">
        <v>0</v>
      </c>
      <c r="L242" s="3">
        <v>152.20599999999999</v>
      </c>
      <c r="M242" s="3" t="str">
        <v/>
      </c>
      <c r="N242" s="3" t="str">
        <v/>
      </c>
      <c r="O242" s="3">
        <v>332.5</v>
      </c>
      <c r="P242" s="3">
        <v>1000</v>
      </c>
      <c r="Q242" s="3">
        <v>75.302000000000007</v>
      </c>
      <c r="R242" s="3">
        <v>0</v>
      </c>
      <c r="S242" s="3">
        <v>0</v>
      </c>
      <c r="T242" s="3">
        <v>0</v>
      </c>
      <c r="U242" s="3">
        <v>0</v>
      </c>
      <c r="V242" s="3">
        <v>0</v>
      </c>
      <c r="W242" s="3">
        <v>0</v>
      </c>
      <c r="X242" s="3">
        <v>0</v>
      </c>
      <c r="Y242" s="3">
        <v>0</v>
      </c>
      <c r="Z242" s="3">
        <v>0</v>
      </c>
      <c r="AA242" s="3">
        <v>0</v>
      </c>
      <c r="AB242" s="3">
        <v>0</v>
      </c>
      <c r="AC242" s="3">
        <v>0</v>
      </c>
      <c r="AD242" s="3">
        <v>0</v>
      </c>
      <c r="AE242" s="3">
        <v>0</v>
      </c>
      <c r="AF242" s="3">
        <v>0</v>
      </c>
    </row>
    <row r="243" spans="8:32" x14ac:dyDescent="0.35">
      <c r="H243" s="3" t="str">
        <v>Br2</v>
      </c>
      <c r="I243" s="3" t="str">
        <v>Bromine</v>
      </c>
      <c r="J243" s="3" t="str">
        <v>Liquid-1</v>
      </c>
      <c r="K243" s="3">
        <v>0</v>
      </c>
      <c r="L243" s="3">
        <v>152.20599999999999</v>
      </c>
      <c r="M243" s="3" t="str">
        <v/>
      </c>
      <c r="N243" s="3" t="str">
        <v/>
      </c>
      <c r="O243" s="3">
        <v>1000</v>
      </c>
      <c r="P243" s="3">
        <v>1001</v>
      </c>
      <c r="Q243" s="3">
        <v>37.799999999999997</v>
      </c>
      <c r="R243" s="3">
        <v>0</v>
      </c>
      <c r="S243" s="3">
        <v>0</v>
      </c>
      <c r="T243" s="3">
        <v>0</v>
      </c>
      <c r="U243" s="3">
        <v>0</v>
      </c>
      <c r="V243" s="3">
        <v>0</v>
      </c>
      <c r="W243" s="3">
        <v>0</v>
      </c>
      <c r="X243" s="3">
        <v>0</v>
      </c>
      <c r="Y243" s="3">
        <v>0</v>
      </c>
      <c r="Z243" s="3">
        <v>0</v>
      </c>
      <c r="AA243" s="3">
        <v>0</v>
      </c>
      <c r="AB243" s="3">
        <v>0</v>
      </c>
      <c r="AC243" s="3">
        <v>0</v>
      </c>
      <c r="AD243" s="3">
        <v>0</v>
      </c>
      <c r="AE243" s="3">
        <v>0</v>
      </c>
      <c r="AF243" s="3">
        <v>0</v>
      </c>
    </row>
    <row r="244" spans="8:32" x14ac:dyDescent="0.35">
      <c r="H244" s="3" t="str">
        <v>Br2</v>
      </c>
      <c r="I244" s="3" t="str">
        <v>Bromine</v>
      </c>
      <c r="J244" s="3" t="str">
        <v>Gas-1</v>
      </c>
      <c r="K244" s="3">
        <v>30910</v>
      </c>
      <c r="L244" s="3">
        <v>245.39400000000001</v>
      </c>
      <c r="M244" s="3" t="str">
        <v/>
      </c>
      <c r="N244" s="3" t="str">
        <v/>
      </c>
      <c r="O244" s="3">
        <v>298.14999999999998</v>
      </c>
      <c r="P244" s="3">
        <v>1300</v>
      </c>
      <c r="Q244" s="3">
        <v>37.3385390838652</v>
      </c>
      <c r="R244" s="3">
        <v>0</v>
      </c>
      <c r="S244" s="3">
        <v>6.3168887228076697E-4</v>
      </c>
      <c r="T244" s="3">
        <v>1</v>
      </c>
      <c r="U244" s="3">
        <v>-111849.967433301</v>
      </c>
      <c r="V244" s="3">
        <v>-2</v>
      </c>
      <c r="W244" s="3">
        <v>-66.678270044711098</v>
      </c>
      <c r="X244" s="3">
        <v>-1</v>
      </c>
      <c r="Y244" s="3">
        <v>0</v>
      </c>
      <c r="Z244" s="3">
        <v>0</v>
      </c>
      <c r="AA244" s="3">
        <v>0</v>
      </c>
      <c r="AB244" s="3">
        <v>0</v>
      </c>
      <c r="AC244" s="3">
        <v>0</v>
      </c>
      <c r="AD244" s="3">
        <v>0</v>
      </c>
      <c r="AE244" s="3">
        <v>0</v>
      </c>
      <c r="AF244" s="3">
        <v>0</v>
      </c>
    </row>
    <row r="245" spans="8:32" x14ac:dyDescent="0.35">
      <c r="H245" s="3" t="str">
        <v>Br2</v>
      </c>
      <c r="I245" s="3" t="str">
        <v>Bromine</v>
      </c>
      <c r="J245" s="3" t="str">
        <v>Gas-1</v>
      </c>
      <c r="K245" s="3">
        <v>30910</v>
      </c>
      <c r="L245" s="3">
        <v>245.39400000000001</v>
      </c>
      <c r="M245" s="3" t="str">
        <v/>
      </c>
      <c r="N245" s="3" t="str">
        <v/>
      </c>
      <c r="O245" s="3">
        <v>1300</v>
      </c>
      <c r="P245" s="3">
        <v>3500</v>
      </c>
      <c r="Q245" s="3">
        <v>365.23538840669698</v>
      </c>
      <c r="R245" s="3">
        <v>0</v>
      </c>
      <c r="S245" s="3">
        <v>-1.6072044693822798E-2</v>
      </c>
      <c r="T245" s="3">
        <v>1</v>
      </c>
      <c r="U245" s="3">
        <v>-131620804.365236</v>
      </c>
      <c r="V245" s="3">
        <v>-2</v>
      </c>
      <c r="W245" s="3">
        <v>641542.00126715202</v>
      </c>
      <c r="X245" s="3">
        <v>-1</v>
      </c>
      <c r="Y245" s="3">
        <v>-26028.877918460199</v>
      </c>
      <c r="Z245" s="3">
        <v>-0.5</v>
      </c>
      <c r="AA245" s="3">
        <v>0</v>
      </c>
      <c r="AB245" s="3">
        <v>0</v>
      </c>
      <c r="AC245" s="3">
        <v>0</v>
      </c>
      <c r="AD245" s="3">
        <v>0</v>
      </c>
      <c r="AE245" s="3">
        <v>0</v>
      </c>
      <c r="AF245" s="3">
        <v>0</v>
      </c>
    </row>
    <row r="246" spans="8:32" x14ac:dyDescent="0.35">
      <c r="H246" s="3" t="str">
        <v>Br2</v>
      </c>
      <c r="I246" s="3" t="str">
        <v>Bromine</v>
      </c>
      <c r="J246" s="3" t="str">
        <v>Gas-1</v>
      </c>
      <c r="K246" s="3">
        <v>30910</v>
      </c>
      <c r="L246" s="3">
        <v>245.39400000000001</v>
      </c>
      <c r="M246" s="3" t="str">
        <v/>
      </c>
      <c r="N246" s="3" t="str">
        <v/>
      </c>
      <c r="O246" s="3">
        <v>3500</v>
      </c>
      <c r="P246" s="3">
        <v>6000</v>
      </c>
      <c r="Q246" s="3">
        <v>-23.0929551756766</v>
      </c>
      <c r="R246" s="3">
        <v>0</v>
      </c>
      <c r="S246" s="3">
        <v>-101442959.84383</v>
      </c>
      <c r="T246" s="3">
        <v>-2</v>
      </c>
      <c r="U246" s="3">
        <v>-151250.92884233699</v>
      </c>
      <c r="V246" s="3">
        <v>-1</v>
      </c>
      <c r="W246" s="3">
        <v>6871.9181359979802</v>
      </c>
      <c r="X246" s="3">
        <v>-0.5</v>
      </c>
      <c r="Y246" s="3">
        <v>0</v>
      </c>
      <c r="Z246" s="3">
        <v>0</v>
      </c>
      <c r="AA246" s="3">
        <v>0</v>
      </c>
      <c r="AB246" s="3">
        <v>0</v>
      </c>
      <c r="AC246" s="3">
        <v>0</v>
      </c>
      <c r="AD246" s="3">
        <v>0</v>
      </c>
      <c r="AE246" s="3">
        <v>0</v>
      </c>
      <c r="AF246" s="3">
        <v>0</v>
      </c>
    </row>
    <row r="247" spans="8:32" x14ac:dyDescent="0.35">
      <c r="H247" s="3" t="str">
        <v>Br2</v>
      </c>
      <c r="I247" s="3" t="str">
        <v>Bromine</v>
      </c>
      <c r="J247" s="3" t="str">
        <v>Aqueous</v>
      </c>
      <c r="K247" s="3">
        <v>-2594</v>
      </c>
      <c r="L247" s="3">
        <v>130.541</v>
      </c>
      <c r="M247" s="3" t="str">
        <v/>
      </c>
      <c r="N247" s="3" t="str">
        <v/>
      </c>
      <c r="O247" s="3">
        <v>298.14999999999998</v>
      </c>
      <c r="P247" s="3">
        <v>298.14999999999998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>
        <v>0</v>
      </c>
      <c r="X247" s="3">
        <v>0</v>
      </c>
      <c r="Y247" s="3">
        <v>0</v>
      </c>
      <c r="Z247" s="3">
        <v>0</v>
      </c>
      <c r="AA247" s="3">
        <v>0</v>
      </c>
      <c r="AB247" s="3">
        <v>0</v>
      </c>
      <c r="AC247" s="3">
        <v>0</v>
      </c>
      <c r="AD247" s="3">
        <v>0</v>
      </c>
      <c r="AE247" s="3">
        <v>0</v>
      </c>
      <c r="AF247" s="3">
        <v>0</v>
      </c>
    </row>
    <row r="248" spans="8:32" x14ac:dyDescent="0.35">
      <c r="H248" s="3" t="str">
        <v>Kr</v>
      </c>
      <c r="I248" s="3" t="str">
        <v>Krypton</v>
      </c>
      <c r="J248" s="3" t="str">
        <v>Gas-1</v>
      </c>
      <c r="K248" s="3">
        <v>0</v>
      </c>
      <c r="L248" s="3">
        <v>164.084</v>
      </c>
      <c r="M248" s="3" t="str">
        <v/>
      </c>
      <c r="N248" s="3" t="str">
        <v/>
      </c>
      <c r="O248" s="3">
        <v>298.14999999999998</v>
      </c>
      <c r="P248" s="3">
        <v>6000</v>
      </c>
      <c r="Q248" s="3">
        <v>20.786000000000001</v>
      </c>
      <c r="R248" s="3">
        <v>0</v>
      </c>
      <c r="S248" s="3">
        <v>0</v>
      </c>
      <c r="T248" s="3">
        <v>0</v>
      </c>
      <c r="U248" s="3">
        <v>0</v>
      </c>
      <c r="V248" s="3">
        <v>0</v>
      </c>
      <c r="W248" s="3">
        <v>0</v>
      </c>
      <c r="X248" s="3">
        <v>0</v>
      </c>
      <c r="Y248" s="3">
        <v>0</v>
      </c>
      <c r="Z248" s="3">
        <v>0</v>
      </c>
      <c r="AA248" s="3">
        <v>0</v>
      </c>
      <c r="AB248" s="3">
        <v>0</v>
      </c>
      <c r="AC248" s="3">
        <v>0</v>
      </c>
      <c r="AD248" s="3">
        <v>0</v>
      </c>
      <c r="AE248" s="3">
        <v>0</v>
      </c>
      <c r="AF248" s="3">
        <v>0</v>
      </c>
    </row>
    <row r="249" spans="8:32" x14ac:dyDescent="0.35">
      <c r="H249" s="3" t="str">
        <v>Kr</v>
      </c>
      <c r="I249" s="3" t="str">
        <v>Krypton</v>
      </c>
      <c r="J249" s="3" t="str">
        <v>Aqueous</v>
      </c>
      <c r="K249" s="3">
        <v>-15481</v>
      </c>
      <c r="L249" s="3">
        <v>61.505000000000003</v>
      </c>
      <c r="M249" s="3" t="str">
        <v/>
      </c>
      <c r="N249" s="3" t="str">
        <v/>
      </c>
      <c r="O249" s="3">
        <v>298.14999999999998</v>
      </c>
      <c r="P249" s="3">
        <v>298.14999999999998</v>
      </c>
      <c r="Q249" s="3">
        <v>0</v>
      </c>
      <c r="R249" s="3">
        <v>0</v>
      </c>
      <c r="S249" s="3">
        <v>0</v>
      </c>
      <c r="T249" s="3">
        <v>0</v>
      </c>
      <c r="U249" s="3">
        <v>0</v>
      </c>
      <c r="V249" s="3">
        <v>0</v>
      </c>
      <c r="W249" s="3">
        <v>0</v>
      </c>
      <c r="X249" s="3">
        <v>0</v>
      </c>
      <c r="Y249" s="3">
        <v>0</v>
      </c>
      <c r="Z249" s="3">
        <v>0</v>
      </c>
      <c r="AA249" s="3">
        <v>0</v>
      </c>
      <c r="AB249" s="3">
        <v>0</v>
      </c>
      <c r="AC249" s="3">
        <v>0</v>
      </c>
      <c r="AD249" s="3">
        <v>0</v>
      </c>
      <c r="AE249" s="3">
        <v>0</v>
      </c>
      <c r="AF249" s="3">
        <v>0</v>
      </c>
    </row>
    <row r="250" spans="8:32" x14ac:dyDescent="0.35">
      <c r="H250" s="3" t="str">
        <v>Rb</v>
      </c>
      <c r="I250" s="3" t="str">
        <v>Rubidium</v>
      </c>
      <c r="J250" s="3" t="str">
        <v>Solid-1</v>
      </c>
      <c r="K250" s="3">
        <v>0</v>
      </c>
      <c r="L250" s="3">
        <v>76.778000000000006</v>
      </c>
      <c r="M250" s="3" t="str">
        <v/>
      </c>
      <c r="N250" s="3" t="str">
        <v/>
      </c>
      <c r="O250" s="3">
        <v>298.14999999999998</v>
      </c>
      <c r="P250" s="3">
        <v>350</v>
      </c>
      <c r="Q250" s="3">
        <v>3.5055778061385099</v>
      </c>
      <c r="R250" s="3">
        <v>0</v>
      </c>
      <c r="S250" s="3">
        <v>9.2385815856139294E-2</v>
      </c>
      <c r="T250" s="3">
        <v>1</v>
      </c>
      <c r="U250" s="3">
        <v>0</v>
      </c>
      <c r="V250" s="3">
        <v>0</v>
      </c>
      <c r="W250" s="3">
        <v>0</v>
      </c>
      <c r="X250" s="3">
        <v>0</v>
      </c>
      <c r="Y250" s="3">
        <v>0</v>
      </c>
      <c r="Z250" s="3">
        <v>0</v>
      </c>
      <c r="AA250" s="3">
        <v>0</v>
      </c>
      <c r="AB250" s="3">
        <v>0</v>
      </c>
      <c r="AC250" s="3">
        <v>0</v>
      </c>
      <c r="AD250" s="3">
        <v>0</v>
      </c>
      <c r="AE250" s="3">
        <v>0</v>
      </c>
      <c r="AF250" s="3">
        <v>0</v>
      </c>
    </row>
    <row r="251" spans="8:32" x14ac:dyDescent="0.35">
      <c r="H251" s="3" t="str">
        <v>Rb</v>
      </c>
      <c r="I251" s="3" t="str">
        <v>Rubidium</v>
      </c>
      <c r="J251" s="3" t="str">
        <v>Solid-1</v>
      </c>
      <c r="K251" s="3">
        <v>0</v>
      </c>
      <c r="L251" s="3">
        <v>76.778000000000006</v>
      </c>
      <c r="M251" s="3" t="str">
        <v/>
      </c>
      <c r="N251" s="3" t="str">
        <v/>
      </c>
      <c r="O251" s="3">
        <v>350</v>
      </c>
      <c r="P251" s="3">
        <v>351</v>
      </c>
      <c r="Q251" s="3">
        <v>31</v>
      </c>
      <c r="R251" s="3">
        <v>0</v>
      </c>
      <c r="S251" s="3">
        <v>0</v>
      </c>
      <c r="T251" s="3">
        <v>0</v>
      </c>
      <c r="U251" s="3">
        <v>0</v>
      </c>
      <c r="V251" s="3">
        <v>0</v>
      </c>
      <c r="W251" s="3">
        <v>0</v>
      </c>
      <c r="X251" s="3">
        <v>0</v>
      </c>
      <c r="Y251" s="3">
        <v>0</v>
      </c>
      <c r="Z251" s="3">
        <v>0</v>
      </c>
      <c r="AA251" s="3">
        <v>0</v>
      </c>
      <c r="AB251" s="3">
        <v>0</v>
      </c>
      <c r="AC251" s="3">
        <v>0</v>
      </c>
      <c r="AD251" s="3">
        <v>0</v>
      </c>
      <c r="AE251" s="3">
        <v>0</v>
      </c>
      <c r="AF251" s="3">
        <v>0</v>
      </c>
    </row>
    <row r="252" spans="8:32" x14ac:dyDescent="0.35">
      <c r="H252" s="3" t="str">
        <v>Rb</v>
      </c>
      <c r="I252" s="3" t="str">
        <v>Rubidium</v>
      </c>
      <c r="J252" s="3" t="str">
        <v>Liquid-1</v>
      </c>
      <c r="K252" s="3" t="str">
        <v/>
      </c>
      <c r="L252" s="3" t="str">
        <v/>
      </c>
      <c r="M252" s="3">
        <v>2190</v>
      </c>
      <c r="N252" s="3">
        <v>312.63</v>
      </c>
      <c r="O252" s="3">
        <v>298.14999999999998</v>
      </c>
      <c r="P252" s="3">
        <v>1600</v>
      </c>
      <c r="Q252" s="3">
        <v>35.493931618681898</v>
      </c>
      <c r="R252" s="3">
        <v>0</v>
      </c>
      <c r="S252" s="3">
        <v>-1.28639028689963E-2</v>
      </c>
      <c r="T252" s="3">
        <v>1</v>
      </c>
      <c r="U252" s="3">
        <v>8.5408579658026896E-6</v>
      </c>
      <c r="V252" s="3">
        <v>2</v>
      </c>
      <c r="W252" s="3">
        <v>0</v>
      </c>
      <c r="X252" s="3">
        <v>0</v>
      </c>
      <c r="Y252" s="3">
        <v>0</v>
      </c>
      <c r="Z252" s="3">
        <v>0</v>
      </c>
      <c r="AA252" s="3">
        <v>0</v>
      </c>
      <c r="AB252" s="3">
        <v>0</v>
      </c>
      <c r="AC252" s="3">
        <v>0</v>
      </c>
      <c r="AD252" s="3">
        <v>0</v>
      </c>
      <c r="AE252" s="3">
        <v>0</v>
      </c>
      <c r="AF252" s="3">
        <v>0</v>
      </c>
    </row>
    <row r="253" spans="8:32" x14ac:dyDescent="0.35">
      <c r="H253" s="3" t="str">
        <v>Rb</v>
      </c>
      <c r="I253" s="3" t="str">
        <v>Rubidium</v>
      </c>
      <c r="J253" s="3" t="str">
        <v>Gas-1</v>
      </c>
      <c r="K253" s="3">
        <v>80900</v>
      </c>
      <c r="L253" s="3">
        <v>170.09299999999999</v>
      </c>
      <c r="M253" s="3" t="str">
        <v/>
      </c>
      <c r="N253" s="3" t="str">
        <v/>
      </c>
      <c r="O253" s="3">
        <v>298.14999999999998</v>
      </c>
      <c r="P253" s="3">
        <v>2200</v>
      </c>
      <c r="Q253" s="3">
        <v>21.158034634614101</v>
      </c>
      <c r="R253" s="3">
        <v>0</v>
      </c>
      <c r="S253" s="3">
        <v>-7.0335332658996795E-4</v>
      </c>
      <c r="T253" s="3">
        <v>1</v>
      </c>
      <c r="U253" s="3">
        <v>-18718.8968162524</v>
      </c>
      <c r="V253" s="3">
        <v>-2</v>
      </c>
      <c r="W253" s="3">
        <v>3.2157770353650302E-7</v>
      </c>
      <c r="X253" s="3">
        <v>2</v>
      </c>
      <c r="Y253" s="3">
        <v>0</v>
      </c>
      <c r="Z253" s="3">
        <v>0</v>
      </c>
      <c r="AA253" s="3">
        <v>0</v>
      </c>
      <c r="AB253" s="3">
        <v>0</v>
      </c>
      <c r="AC253" s="3">
        <v>0</v>
      </c>
      <c r="AD253" s="3">
        <v>0</v>
      </c>
      <c r="AE253" s="3">
        <v>0</v>
      </c>
      <c r="AF253" s="3">
        <v>0</v>
      </c>
    </row>
    <row r="254" spans="8:32" x14ac:dyDescent="0.35">
      <c r="H254" s="3" t="str">
        <v>Rb</v>
      </c>
      <c r="I254" s="3" t="str">
        <v>Rubidium</v>
      </c>
      <c r="J254" s="3" t="str">
        <v>Gas-1</v>
      </c>
      <c r="K254" s="3">
        <v>80900</v>
      </c>
      <c r="L254" s="3">
        <v>170.09299999999999</v>
      </c>
      <c r="M254" s="3" t="str">
        <v/>
      </c>
      <c r="N254" s="3" t="str">
        <v/>
      </c>
      <c r="O254" s="3">
        <v>2200</v>
      </c>
      <c r="P254" s="3">
        <v>4300</v>
      </c>
      <c r="Q254" s="3">
        <v>1132.94923074655</v>
      </c>
      <c r="R254" s="3">
        <v>0</v>
      </c>
      <c r="S254" s="3">
        <v>-9.2538583166515698E-2</v>
      </c>
      <c r="T254" s="3">
        <v>1</v>
      </c>
      <c r="U254" s="3">
        <v>-586285004.47160399</v>
      </c>
      <c r="V254" s="3">
        <v>-2</v>
      </c>
      <c r="W254" s="3">
        <v>6.63738406209227E-6</v>
      </c>
      <c r="X254" s="3">
        <v>2</v>
      </c>
      <c r="Y254" s="3">
        <v>2236012.1072695302</v>
      </c>
      <c r="Z254" s="3">
        <v>-1</v>
      </c>
      <c r="AA254" s="3">
        <v>-86095.486283441904</v>
      </c>
      <c r="AB254" s="3">
        <v>-0.5</v>
      </c>
      <c r="AC254" s="3">
        <v>0</v>
      </c>
      <c r="AD254" s="3">
        <v>0</v>
      </c>
      <c r="AE254" s="3">
        <v>0</v>
      </c>
      <c r="AF254" s="3">
        <v>0</v>
      </c>
    </row>
    <row r="255" spans="8:32" x14ac:dyDescent="0.35">
      <c r="H255" s="3" t="str">
        <v>Rb</v>
      </c>
      <c r="I255" s="3" t="str">
        <v>Rubidium</v>
      </c>
      <c r="J255" s="3" t="str">
        <v>Gas-1</v>
      </c>
      <c r="K255" s="3">
        <v>80900</v>
      </c>
      <c r="L255" s="3">
        <v>170.09299999999999</v>
      </c>
      <c r="M255" s="3" t="str">
        <v/>
      </c>
      <c r="N255" s="3" t="str">
        <v/>
      </c>
      <c r="O255" s="3">
        <v>4300</v>
      </c>
      <c r="P255" s="3">
        <v>5500</v>
      </c>
      <c r="Q255" s="3">
        <v>23417.039079775001</v>
      </c>
      <c r="R255" s="3">
        <v>0</v>
      </c>
      <c r="S255" s="3">
        <v>-3.1492479099757502</v>
      </c>
      <c r="T255" s="3">
        <v>1</v>
      </c>
      <c r="U255" s="3">
        <v>94864085617.321304</v>
      </c>
      <c r="V255" s="3">
        <v>-2</v>
      </c>
      <c r="W255" s="3">
        <v>1.5942000290605399E-4</v>
      </c>
      <c r="X255" s="3">
        <v>2</v>
      </c>
      <c r="Y255" s="3">
        <v>-77057725.662231699</v>
      </c>
      <c r="Z255" s="3">
        <v>-1</v>
      </c>
      <c r="AA255" s="3">
        <v>0</v>
      </c>
      <c r="AB255" s="3">
        <v>0</v>
      </c>
      <c r="AC255" s="3">
        <v>0</v>
      </c>
      <c r="AD255" s="3">
        <v>0</v>
      </c>
      <c r="AE255" s="3">
        <v>0</v>
      </c>
      <c r="AF255" s="3">
        <v>0</v>
      </c>
    </row>
    <row r="256" spans="8:32" x14ac:dyDescent="0.35">
      <c r="H256" s="3" t="str">
        <v>Rb</v>
      </c>
      <c r="I256" s="3" t="str">
        <v>Rubidium</v>
      </c>
      <c r="J256" s="3" t="str">
        <v>Gas-1</v>
      </c>
      <c r="K256" s="3">
        <v>80900</v>
      </c>
      <c r="L256" s="3">
        <v>170.09299999999999</v>
      </c>
      <c r="M256" s="3" t="str">
        <v/>
      </c>
      <c r="N256" s="3" t="str">
        <v/>
      </c>
      <c r="O256" s="3">
        <v>5500</v>
      </c>
      <c r="P256" s="3">
        <v>6000</v>
      </c>
      <c r="Q256" s="3">
        <v>235.84665909967299</v>
      </c>
      <c r="R256" s="3">
        <v>0</v>
      </c>
      <c r="S256" s="3">
        <v>4893002016.9403696</v>
      </c>
      <c r="T256" s="3">
        <v>-2</v>
      </c>
      <c r="U256" s="3">
        <v>-1944034.8053563</v>
      </c>
      <c r="V256" s="3">
        <v>-1</v>
      </c>
      <c r="W256" s="3">
        <v>0</v>
      </c>
      <c r="X256" s="3">
        <v>0</v>
      </c>
      <c r="Y256" s="3">
        <v>0</v>
      </c>
      <c r="Z256" s="3">
        <v>0</v>
      </c>
      <c r="AA256" s="3">
        <v>0</v>
      </c>
      <c r="AB256" s="3">
        <v>0</v>
      </c>
      <c r="AC256" s="3">
        <v>0</v>
      </c>
      <c r="AD256" s="3">
        <v>0</v>
      </c>
      <c r="AE256" s="3">
        <v>0</v>
      </c>
      <c r="AF256" s="3">
        <v>0</v>
      </c>
    </row>
    <row r="257" spans="8:32" x14ac:dyDescent="0.35">
      <c r="H257" s="3" t="str">
        <v>Sr</v>
      </c>
      <c r="I257" s="3" t="str">
        <v>Strontium</v>
      </c>
      <c r="J257" s="3" t="str">
        <v>fcc</v>
      </c>
      <c r="K257" s="3">
        <v>0</v>
      </c>
      <c r="L257" s="3">
        <v>55.694000000000003</v>
      </c>
      <c r="M257" s="3" t="str">
        <v/>
      </c>
      <c r="N257" s="3" t="str">
        <v/>
      </c>
      <c r="O257" s="3">
        <v>298.14999999999998</v>
      </c>
      <c r="P257" s="3">
        <v>820</v>
      </c>
      <c r="Q257" s="3">
        <v>23.918852304763799</v>
      </c>
      <c r="R257" s="3">
        <v>0</v>
      </c>
      <c r="S257" s="3">
        <v>9.1883751549395494E-3</v>
      </c>
      <c r="T257" s="3">
        <v>1</v>
      </c>
      <c r="U257" s="3">
        <v>3742.8899452744399</v>
      </c>
      <c r="V257" s="3">
        <v>-2</v>
      </c>
      <c r="W257" s="3">
        <v>1.0288142472164399E-6</v>
      </c>
      <c r="X257" s="3">
        <v>2</v>
      </c>
      <c r="Y257" s="3">
        <v>0</v>
      </c>
      <c r="Z257" s="3">
        <v>0</v>
      </c>
      <c r="AA257" s="3">
        <v>0</v>
      </c>
      <c r="AB257" s="3">
        <v>0</v>
      </c>
      <c r="AC257" s="3">
        <v>0</v>
      </c>
      <c r="AD257" s="3">
        <v>0</v>
      </c>
      <c r="AE257" s="3">
        <v>0</v>
      </c>
      <c r="AF257" s="3">
        <v>0</v>
      </c>
    </row>
    <row r="258" spans="8:32" x14ac:dyDescent="0.35">
      <c r="H258" s="3" t="str">
        <v>Sr</v>
      </c>
      <c r="I258" s="3" t="str">
        <v>Strontium</v>
      </c>
      <c r="J258" s="3" t="str">
        <v>fcc</v>
      </c>
      <c r="K258" s="3">
        <v>0</v>
      </c>
      <c r="L258" s="3">
        <v>55.694000000000003</v>
      </c>
      <c r="M258" s="3" t="str">
        <v/>
      </c>
      <c r="N258" s="3" t="str">
        <v/>
      </c>
      <c r="O258" s="3">
        <v>820</v>
      </c>
      <c r="P258" s="3">
        <v>1500</v>
      </c>
      <c r="Q258" s="3">
        <v>26.359327199999999</v>
      </c>
      <c r="R258" s="3">
        <v>0</v>
      </c>
      <c r="S258" s="3">
        <v>4.1838353699999997E-3</v>
      </c>
      <c r="T258" s="3">
        <v>1</v>
      </c>
      <c r="U258" s="3">
        <v>-6.2473045300000001</v>
      </c>
      <c r="V258" s="3">
        <v>-2</v>
      </c>
      <c r="W258" s="3">
        <v>0</v>
      </c>
      <c r="X258" s="3">
        <v>0</v>
      </c>
      <c r="Y258" s="3">
        <v>0</v>
      </c>
      <c r="Z258" s="3">
        <v>0</v>
      </c>
      <c r="AA258" s="3">
        <v>0</v>
      </c>
      <c r="AB258" s="3">
        <v>0</v>
      </c>
      <c r="AC258" s="3">
        <v>0</v>
      </c>
      <c r="AD258" s="3">
        <v>0</v>
      </c>
      <c r="AE258" s="3">
        <v>0</v>
      </c>
      <c r="AF258" s="3">
        <v>0</v>
      </c>
    </row>
    <row r="259" spans="8:32" x14ac:dyDescent="0.35">
      <c r="H259" s="3" t="str">
        <v>Sr</v>
      </c>
      <c r="I259" s="3" t="str">
        <v>Strontium</v>
      </c>
      <c r="J259" s="3" t="str">
        <v>bcc</v>
      </c>
      <c r="K259" s="3" t="str">
        <v/>
      </c>
      <c r="L259" s="3" t="str">
        <v/>
      </c>
      <c r="M259" s="3">
        <v>836.8</v>
      </c>
      <c r="N259" s="3">
        <v>820</v>
      </c>
      <c r="O259" s="3">
        <v>298.14999999999998</v>
      </c>
      <c r="P259" s="3">
        <v>1050</v>
      </c>
      <c r="Q259" s="3">
        <v>26.3593271979015</v>
      </c>
      <c r="R259" s="3">
        <v>0</v>
      </c>
      <c r="S259" s="3">
        <v>4.1838353713955804E-3</v>
      </c>
      <c r="T259" s="3">
        <v>1</v>
      </c>
      <c r="U259" s="3">
        <v>-6.2473045343254201</v>
      </c>
      <c r="V259" s="3">
        <v>-2</v>
      </c>
      <c r="W259" s="3">
        <v>0</v>
      </c>
      <c r="X259" s="3">
        <v>0</v>
      </c>
      <c r="Y259" s="3">
        <v>0</v>
      </c>
      <c r="Z259" s="3">
        <v>0</v>
      </c>
      <c r="AA259" s="3">
        <v>0</v>
      </c>
      <c r="AB259" s="3">
        <v>0</v>
      </c>
      <c r="AC259" s="3">
        <v>0</v>
      </c>
      <c r="AD259" s="3">
        <v>0</v>
      </c>
      <c r="AE259" s="3">
        <v>0</v>
      </c>
      <c r="AF259" s="3">
        <v>0</v>
      </c>
    </row>
    <row r="260" spans="8:32" x14ac:dyDescent="0.35">
      <c r="H260" s="3" t="str">
        <v>Sr</v>
      </c>
      <c r="I260" s="3" t="str">
        <v>Strontium</v>
      </c>
      <c r="J260" s="3" t="str">
        <v>bcc</v>
      </c>
      <c r="K260" s="3" t="str">
        <v/>
      </c>
      <c r="L260" s="3" t="str">
        <v/>
      </c>
      <c r="M260" s="3">
        <v>836.8</v>
      </c>
      <c r="N260" s="3">
        <v>820</v>
      </c>
      <c r="O260" s="3">
        <v>1050</v>
      </c>
      <c r="P260" s="3">
        <v>1700</v>
      </c>
      <c r="Q260" s="3">
        <v>39.463000000000001</v>
      </c>
      <c r="R260" s="3">
        <v>0</v>
      </c>
      <c r="S260" s="3">
        <v>1.0000000000000001E-21</v>
      </c>
      <c r="T260" s="3">
        <v>1</v>
      </c>
      <c r="U260" s="3">
        <v>0</v>
      </c>
      <c r="V260" s="3">
        <v>0</v>
      </c>
      <c r="W260" s="3">
        <v>0</v>
      </c>
      <c r="X260" s="3">
        <v>0</v>
      </c>
      <c r="Y260" s="3">
        <v>0</v>
      </c>
      <c r="Z260" s="3">
        <v>0</v>
      </c>
      <c r="AA260" s="3">
        <v>0</v>
      </c>
      <c r="AB260" s="3">
        <v>0</v>
      </c>
      <c r="AC260" s="3">
        <v>0</v>
      </c>
      <c r="AD260" s="3">
        <v>0</v>
      </c>
      <c r="AE260" s="3">
        <v>0</v>
      </c>
      <c r="AF260" s="3">
        <v>0</v>
      </c>
    </row>
    <row r="261" spans="8:32" x14ac:dyDescent="0.35">
      <c r="H261" s="3" t="str">
        <v>Sr</v>
      </c>
      <c r="I261" s="3" t="str">
        <v>Strontium</v>
      </c>
      <c r="J261" s="3" t="str">
        <v>Liquid</v>
      </c>
      <c r="K261" s="3" t="str">
        <v/>
      </c>
      <c r="L261" s="3" t="str">
        <v/>
      </c>
      <c r="M261" s="3">
        <v>7430.8</v>
      </c>
      <c r="N261" s="3">
        <v>1050</v>
      </c>
      <c r="O261" s="3">
        <v>298.14999999999998</v>
      </c>
      <c r="P261" s="3">
        <v>1050</v>
      </c>
      <c r="Q261" s="3">
        <v>44.63332819</v>
      </c>
      <c r="R261" s="3">
        <v>0</v>
      </c>
      <c r="S261" s="3">
        <v>-2.2594039999999999E-2</v>
      </c>
      <c r="T261" s="3">
        <v>1</v>
      </c>
      <c r="U261" s="3">
        <v>-6.2473045343254201</v>
      </c>
      <c r="V261" s="3">
        <v>-2</v>
      </c>
      <c r="W261" s="3">
        <v>9.9999999999999998E-17</v>
      </c>
      <c r="X261" s="3">
        <v>2</v>
      </c>
      <c r="Y261" s="3">
        <v>0</v>
      </c>
      <c r="Z261" s="3">
        <v>0</v>
      </c>
      <c r="AA261" s="3">
        <v>0</v>
      </c>
      <c r="AB261" s="3">
        <v>0</v>
      </c>
      <c r="AC261" s="3">
        <v>0</v>
      </c>
      <c r="AD261" s="3">
        <v>0</v>
      </c>
      <c r="AE261" s="3">
        <v>0</v>
      </c>
      <c r="AF261" s="3">
        <v>0</v>
      </c>
    </row>
    <row r="262" spans="8:32" x14ac:dyDescent="0.35">
      <c r="H262" s="3" t="str">
        <v>Sr</v>
      </c>
      <c r="I262" s="3" t="str">
        <v>Strontium</v>
      </c>
      <c r="J262" s="3" t="str">
        <v>Liquid</v>
      </c>
      <c r="K262" s="3" t="str">
        <v/>
      </c>
      <c r="L262" s="3" t="str">
        <v/>
      </c>
      <c r="M262" s="3">
        <v>7430.8</v>
      </c>
      <c r="N262" s="3">
        <v>1050</v>
      </c>
      <c r="O262" s="3">
        <v>1050</v>
      </c>
      <c r="P262" s="3">
        <v>3000</v>
      </c>
      <c r="Q262" s="3">
        <v>39.463000000000001</v>
      </c>
      <c r="R262" s="3">
        <v>0</v>
      </c>
      <c r="S262" s="3">
        <v>0</v>
      </c>
      <c r="T262" s="3">
        <v>0</v>
      </c>
      <c r="U262" s="3">
        <v>0</v>
      </c>
      <c r="V262" s="3">
        <v>0</v>
      </c>
      <c r="W262" s="3">
        <v>0</v>
      </c>
      <c r="X262" s="3">
        <v>0</v>
      </c>
      <c r="Y262" s="3">
        <v>0</v>
      </c>
      <c r="Z262" s="3">
        <v>0</v>
      </c>
      <c r="AA262" s="3">
        <v>0</v>
      </c>
      <c r="AB262" s="3">
        <v>0</v>
      </c>
      <c r="AC262" s="3">
        <v>0</v>
      </c>
      <c r="AD262" s="3">
        <v>0</v>
      </c>
      <c r="AE262" s="3">
        <v>0</v>
      </c>
      <c r="AF262" s="3">
        <v>0</v>
      </c>
    </row>
    <row r="263" spans="8:32" x14ac:dyDescent="0.35">
      <c r="H263" s="3" t="str">
        <v>Sr</v>
      </c>
      <c r="I263" s="3" t="str">
        <v>Strontium</v>
      </c>
      <c r="J263" s="3" t="str">
        <v>Gas</v>
      </c>
      <c r="K263" s="3">
        <v>164000</v>
      </c>
      <c r="L263" s="3">
        <v>164.64</v>
      </c>
      <c r="M263" s="3" t="str">
        <v/>
      </c>
      <c r="N263" s="3" t="str">
        <v/>
      </c>
      <c r="O263" s="3">
        <v>298.14999999999998</v>
      </c>
      <c r="P263" s="3">
        <v>1685.5</v>
      </c>
      <c r="Q263" s="3">
        <v>20.775256500000001</v>
      </c>
      <c r="R263" s="3">
        <v>0</v>
      </c>
      <c r="S263" s="3">
        <v>1.79302187E-5</v>
      </c>
      <c r="T263" s="3">
        <v>1</v>
      </c>
      <c r="U263" s="3">
        <v>0</v>
      </c>
      <c r="V263" s="3">
        <v>0</v>
      </c>
      <c r="W263" s="3">
        <v>0</v>
      </c>
      <c r="X263" s="3">
        <v>0</v>
      </c>
      <c r="Y263" s="3">
        <v>0</v>
      </c>
      <c r="Z263" s="3">
        <v>0</v>
      </c>
      <c r="AA263" s="3">
        <v>0</v>
      </c>
      <c r="AB263" s="3">
        <v>0</v>
      </c>
      <c r="AC263" s="3">
        <v>0</v>
      </c>
      <c r="AD263" s="3">
        <v>0</v>
      </c>
      <c r="AE263" s="3">
        <v>0</v>
      </c>
      <c r="AF263" s="3">
        <v>0</v>
      </c>
    </row>
    <row r="264" spans="8:32" x14ac:dyDescent="0.35">
      <c r="H264" s="3" t="str">
        <v>Sr</v>
      </c>
      <c r="I264" s="3" t="str">
        <v>Strontium</v>
      </c>
      <c r="J264" s="3" t="str">
        <v>Gas</v>
      </c>
      <c r="K264" s="3">
        <v>164000</v>
      </c>
      <c r="L264" s="3">
        <v>164.64</v>
      </c>
      <c r="M264" s="3" t="str">
        <v/>
      </c>
      <c r="N264" s="3" t="str">
        <v/>
      </c>
      <c r="O264" s="3">
        <v>1685.5</v>
      </c>
      <c r="P264" s="3">
        <v>4700</v>
      </c>
      <c r="Q264" s="3">
        <v>-5995.2886200000003</v>
      </c>
      <c r="R264" s="3">
        <v>0</v>
      </c>
      <c r="S264" s="3">
        <v>0.51690259400000005</v>
      </c>
      <c r="T264" s="3">
        <v>1</v>
      </c>
      <c r="U264" s="3">
        <v>1929914560</v>
      </c>
      <c r="V264" s="3">
        <v>-2</v>
      </c>
      <c r="W264" s="3">
        <v>-2.6643152299999999E-5</v>
      </c>
      <c r="X264" s="3">
        <v>2</v>
      </c>
      <c r="Y264" s="3">
        <v>-9802820.2899999991</v>
      </c>
      <c r="Z264" s="3">
        <v>-1</v>
      </c>
      <c r="AA264" s="3">
        <v>425212.69500000001</v>
      </c>
      <c r="AB264" s="3">
        <v>-0.5</v>
      </c>
      <c r="AC264" s="3">
        <v>0</v>
      </c>
      <c r="AD264" s="3">
        <v>0</v>
      </c>
      <c r="AE264" s="3">
        <v>0</v>
      </c>
      <c r="AF264" s="3">
        <v>0</v>
      </c>
    </row>
    <row r="265" spans="8:32" x14ac:dyDescent="0.35">
      <c r="H265" s="3" t="str">
        <v>Sr</v>
      </c>
      <c r="I265" s="3" t="str">
        <v>Strontium</v>
      </c>
      <c r="J265" s="3" t="str">
        <v>Gas</v>
      </c>
      <c r="K265" s="3">
        <v>164000</v>
      </c>
      <c r="L265" s="3">
        <v>164.64</v>
      </c>
      <c r="M265" s="3" t="str">
        <v/>
      </c>
      <c r="N265" s="3" t="str">
        <v/>
      </c>
      <c r="O265" s="3">
        <v>4700</v>
      </c>
      <c r="P265" s="3">
        <v>6000</v>
      </c>
      <c r="Q265" s="3">
        <v>-1952.85519</v>
      </c>
      <c r="R265" s="3">
        <v>0</v>
      </c>
      <c r="S265" s="3">
        <v>16013220200</v>
      </c>
      <c r="T265" s="3">
        <v>-2</v>
      </c>
      <c r="U265" s="3">
        <v>-20191111.100000001</v>
      </c>
      <c r="V265" s="3">
        <v>-1</v>
      </c>
      <c r="W265" s="3">
        <v>382103.93</v>
      </c>
      <c r="X265" s="3">
        <v>-0.5</v>
      </c>
      <c r="Y265" s="3">
        <v>0</v>
      </c>
      <c r="Z265" s="3">
        <v>0</v>
      </c>
      <c r="AA265" s="3">
        <v>0</v>
      </c>
      <c r="AB265" s="3">
        <v>0</v>
      </c>
      <c r="AC265" s="3">
        <v>0</v>
      </c>
      <c r="AD265" s="3">
        <v>0</v>
      </c>
      <c r="AE265" s="3">
        <v>0</v>
      </c>
      <c r="AF265" s="3">
        <v>0</v>
      </c>
    </row>
    <row r="266" spans="8:32" x14ac:dyDescent="0.35">
      <c r="H266" s="3" t="str">
        <v>Y</v>
      </c>
      <c r="I266" s="3" t="str">
        <v>Yttrium</v>
      </c>
      <c r="J266" s="3" t="str">
        <v>Solid-A</v>
      </c>
      <c r="K266" s="3">
        <v>0</v>
      </c>
      <c r="L266" s="3">
        <v>44.434080000000002</v>
      </c>
      <c r="M266" s="3" t="str">
        <v/>
      </c>
      <c r="N266" s="3" t="str">
        <v/>
      </c>
      <c r="O266" s="3">
        <v>298</v>
      </c>
      <c r="P266" s="3">
        <v>500</v>
      </c>
      <c r="Q266" s="3">
        <v>5.88</v>
      </c>
      <c r="R266" s="3">
        <v>0</v>
      </c>
      <c r="S266" s="3">
        <v>1.5349999999999999E-3</v>
      </c>
      <c r="T266" s="3">
        <v>1</v>
      </c>
      <c r="U266" s="3">
        <v>0</v>
      </c>
      <c r="V266" s="3">
        <v>0</v>
      </c>
      <c r="W266" s="3">
        <v>0</v>
      </c>
      <c r="X266" s="3">
        <v>0</v>
      </c>
      <c r="Y266" s="3">
        <v>0</v>
      </c>
      <c r="Z266" s="3">
        <v>0</v>
      </c>
      <c r="AA266" s="3">
        <v>0</v>
      </c>
      <c r="AB266" s="3">
        <v>0</v>
      </c>
      <c r="AC266" s="3">
        <v>0</v>
      </c>
      <c r="AD266" s="3">
        <v>0</v>
      </c>
      <c r="AE266" s="3">
        <v>0</v>
      </c>
      <c r="AF266" s="3">
        <v>0</v>
      </c>
    </row>
    <row r="267" spans="8:32" x14ac:dyDescent="0.35">
      <c r="H267" s="3" t="str">
        <v>Y</v>
      </c>
      <c r="I267" s="3" t="str">
        <v>Yttrium</v>
      </c>
      <c r="J267" s="3" t="str">
        <v>Solid-A</v>
      </c>
      <c r="K267" s="3">
        <v>0</v>
      </c>
      <c r="L267" s="3">
        <v>44.434080000000002</v>
      </c>
      <c r="M267" s="3" t="str">
        <v/>
      </c>
      <c r="N267" s="3" t="str">
        <v/>
      </c>
      <c r="O267" s="3">
        <v>500</v>
      </c>
      <c r="P267" s="3">
        <v>1752</v>
      </c>
      <c r="Q267" s="3">
        <v>5.7270000000000003</v>
      </c>
      <c r="R267" s="3">
        <v>0</v>
      </c>
      <c r="S267" s="3">
        <v>1.8159999999999999E-3</v>
      </c>
      <c r="T267" s="3">
        <v>1</v>
      </c>
      <c r="U267" s="3">
        <v>0</v>
      </c>
      <c r="V267" s="3">
        <v>0</v>
      </c>
      <c r="W267" s="3">
        <v>0</v>
      </c>
      <c r="X267" s="3">
        <v>0</v>
      </c>
      <c r="Y267" s="3">
        <v>0</v>
      </c>
      <c r="Z267" s="3">
        <v>0</v>
      </c>
      <c r="AA267" s="3">
        <v>0</v>
      </c>
      <c r="AB267" s="3">
        <v>0</v>
      </c>
      <c r="AC267" s="3">
        <v>0</v>
      </c>
      <c r="AD267" s="3">
        <v>0</v>
      </c>
      <c r="AE267" s="3">
        <v>0</v>
      </c>
      <c r="AF267" s="3">
        <v>0</v>
      </c>
    </row>
    <row r="268" spans="8:32" x14ac:dyDescent="0.35">
      <c r="H268" s="3" t="str">
        <v>Y</v>
      </c>
      <c r="I268" s="3" t="str">
        <v>Yttrium</v>
      </c>
      <c r="J268" s="3" t="str">
        <v>Solid-B</v>
      </c>
      <c r="K268" s="3" t="str">
        <v/>
      </c>
      <c r="L268" s="3" t="str">
        <v/>
      </c>
      <c r="M268" s="3">
        <v>4991.5120000000006</v>
      </c>
      <c r="N268" s="3">
        <v>1752</v>
      </c>
      <c r="O268" s="3">
        <v>1752</v>
      </c>
      <c r="P268" s="3">
        <v>1799</v>
      </c>
      <c r="Q268" s="3">
        <v>8.3699999999999992</v>
      </c>
      <c r="R268" s="3">
        <v>0</v>
      </c>
      <c r="S268" s="3">
        <v>0</v>
      </c>
      <c r="T268" s="3">
        <v>0</v>
      </c>
      <c r="U268" s="3">
        <v>0</v>
      </c>
      <c r="V268" s="3">
        <v>0</v>
      </c>
      <c r="W268" s="3">
        <v>0</v>
      </c>
      <c r="X268" s="3">
        <v>0</v>
      </c>
      <c r="Y268" s="3">
        <v>0</v>
      </c>
      <c r="Z268" s="3">
        <v>0</v>
      </c>
      <c r="AA268" s="3">
        <v>0</v>
      </c>
      <c r="AB268" s="3">
        <v>0</v>
      </c>
      <c r="AC268" s="3">
        <v>0</v>
      </c>
      <c r="AD268" s="3">
        <v>0</v>
      </c>
      <c r="AE268" s="3">
        <v>0</v>
      </c>
      <c r="AF268" s="3">
        <v>0</v>
      </c>
    </row>
    <row r="269" spans="8:32" x14ac:dyDescent="0.35">
      <c r="H269" s="3" t="str">
        <v>Y</v>
      </c>
      <c r="I269" s="3" t="str">
        <v>Yttrium</v>
      </c>
      <c r="J269" s="3" t="str">
        <v>Liquid</v>
      </c>
      <c r="K269" s="3" t="str">
        <v/>
      </c>
      <c r="L269" s="3" t="str">
        <v/>
      </c>
      <c r="M269" s="3">
        <v>11397.216</v>
      </c>
      <c r="N269" s="3">
        <v>1799</v>
      </c>
      <c r="O269" s="3">
        <v>1799</v>
      </c>
      <c r="P269" s="3">
        <v>3000</v>
      </c>
      <c r="Q269" s="3">
        <v>9.51</v>
      </c>
      <c r="R269" s="3">
        <v>0</v>
      </c>
      <c r="S269" s="3">
        <v>0</v>
      </c>
      <c r="T269" s="3">
        <v>0</v>
      </c>
      <c r="U269" s="3">
        <v>0</v>
      </c>
      <c r="V269" s="3">
        <v>0</v>
      </c>
      <c r="W269" s="3">
        <v>0</v>
      </c>
      <c r="X269" s="3">
        <v>0</v>
      </c>
      <c r="Y269" s="3">
        <v>0</v>
      </c>
      <c r="Z269" s="3">
        <v>0</v>
      </c>
      <c r="AA269" s="3">
        <v>0</v>
      </c>
      <c r="AB269" s="3">
        <v>0</v>
      </c>
      <c r="AC269" s="3">
        <v>0</v>
      </c>
      <c r="AD269" s="3">
        <v>0</v>
      </c>
      <c r="AE269" s="3">
        <v>0</v>
      </c>
      <c r="AF269" s="3">
        <v>0</v>
      </c>
    </row>
    <row r="270" spans="8:32" x14ac:dyDescent="0.35">
      <c r="H270" s="3" t="str">
        <v>Y</v>
      </c>
      <c r="I270" s="3" t="str">
        <v>Yttrium</v>
      </c>
      <c r="J270" s="3" t="str">
        <v>Gas</v>
      </c>
      <c r="K270" s="3">
        <v>421328.8</v>
      </c>
      <c r="L270" s="3">
        <v>179.36807999999999</v>
      </c>
      <c r="M270" s="3" t="str">
        <v/>
      </c>
      <c r="N270" s="3" t="str">
        <v/>
      </c>
      <c r="O270" s="3">
        <v>295</v>
      </c>
      <c r="P270" s="3">
        <v>300</v>
      </c>
      <c r="Q270" s="3">
        <v>6.18</v>
      </c>
      <c r="R270" s="3">
        <v>0</v>
      </c>
      <c r="S270" s="3">
        <v>0</v>
      </c>
      <c r="T270" s="3">
        <v>0</v>
      </c>
      <c r="U270" s="3">
        <v>0</v>
      </c>
      <c r="V270" s="3">
        <v>0</v>
      </c>
      <c r="W270" s="3">
        <v>0</v>
      </c>
      <c r="X270" s="3">
        <v>0</v>
      </c>
      <c r="Y270" s="3">
        <v>0</v>
      </c>
      <c r="Z270" s="3">
        <v>0</v>
      </c>
      <c r="AA270" s="3">
        <v>0</v>
      </c>
      <c r="AB270" s="3">
        <v>0</v>
      </c>
      <c r="AC270" s="3">
        <v>0</v>
      </c>
      <c r="AD270" s="3">
        <v>0</v>
      </c>
      <c r="AE270" s="3">
        <v>0</v>
      </c>
      <c r="AF270" s="3">
        <v>0</v>
      </c>
    </row>
    <row r="271" spans="8:32" x14ac:dyDescent="0.35">
      <c r="H271" s="3" t="str">
        <v>Zr</v>
      </c>
      <c r="I271" s="3" t="str">
        <v>Zirconium</v>
      </c>
      <c r="J271" s="3" t="str">
        <v>Solid Alpha</v>
      </c>
      <c r="K271" s="3">
        <v>0</v>
      </c>
      <c r="L271" s="3">
        <v>38.869</v>
      </c>
      <c r="M271" s="3" t="str">
        <v/>
      </c>
      <c r="N271" s="3" t="str">
        <v/>
      </c>
      <c r="O271" s="3">
        <v>298.14999999999998</v>
      </c>
      <c r="P271" s="3">
        <v>1135</v>
      </c>
      <c r="Q271" s="3">
        <v>25.2756746925768</v>
      </c>
      <c r="R271" s="3">
        <v>0</v>
      </c>
      <c r="S271" s="3">
        <v>2.2918924947403201E-4</v>
      </c>
      <c r="T271" s="3">
        <v>1</v>
      </c>
      <c r="U271" s="3">
        <v>-56334.322316092497</v>
      </c>
      <c r="V271" s="3">
        <v>-2</v>
      </c>
      <c r="W271" s="3">
        <v>5.6380600066871803E-6</v>
      </c>
      <c r="X271" s="3">
        <v>2</v>
      </c>
      <c r="Y271" s="3">
        <v>0</v>
      </c>
      <c r="Z271" s="3">
        <v>0</v>
      </c>
      <c r="AA271" s="3">
        <v>0</v>
      </c>
      <c r="AB271" s="3">
        <v>0</v>
      </c>
      <c r="AC271" s="3">
        <v>0</v>
      </c>
      <c r="AD271" s="3">
        <v>0</v>
      </c>
      <c r="AE271" s="3">
        <v>0</v>
      </c>
      <c r="AF271" s="3">
        <v>0</v>
      </c>
    </row>
    <row r="272" spans="8:32" x14ac:dyDescent="0.35">
      <c r="H272" s="3" t="str">
        <v>Zr</v>
      </c>
      <c r="I272" s="3" t="str">
        <v>Zirconium</v>
      </c>
      <c r="J272" s="3" t="str">
        <v>Solid Beta</v>
      </c>
      <c r="K272" s="3" t="str">
        <v/>
      </c>
      <c r="L272" s="3" t="str">
        <v/>
      </c>
      <c r="M272" s="3">
        <v>4017</v>
      </c>
      <c r="N272" s="3">
        <v>1135</v>
      </c>
      <c r="O272" s="3">
        <v>298.14999999999998</v>
      </c>
      <c r="P272" s="3">
        <v>800</v>
      </c>
      <c r="Q272" s="3">
        <v>25.731065673376101</v>
      </c>
      <c r="R272" s="3">
        <v>0</v>
      </c>
      <c r="S272" s="3">
        <v>-9.4947651922578302E-4</v>
      </c>
      <c r="T272" s="3">
        <v>1</v>
      </c>
      <c r="U272" s="3">
        <v>-72569.092834608193</v>
      </c>
      <c r="V272" s="3">
        <v>-2</v>
      </c>
      <c r="W272" s="3">
        <v>6.4148863339146097E-6</v>
      </c>
      <c r="X272" s="3">
        <v>2</v>
      </c>
      <c r="Y272" s="3">
        <v>0</v>
      </c>
      <c r="Z272" s="3">
        <v>0</v>
      </c>
      <c r="AA272" s="3">
        <v>0</v>
      </c>
      <c r="AB272" s="3">
        <v>0</v>
      </c>
      <c r="AC272" s="3">
        <v>0</v>
      </c>
      <c r="AD272" s="3">
        <v>0</v>
      </c>
      <c r="AE272" s="3">
        <v>0</v>
      </c>
      <c r="AF272" s="3">
        <v>0</v>
      </c>
    </row>
    <row r="273" spans="8:32" x14ac:dyDescent="0.35">
      <c r="H273" s="3" t="str">
        <v>Zr</v>
      </c>
      <c r="I273" s="3" t="str">
        <v>Zirconium</v>
      </c>
      <c r="J273" s="3" t="str">
        <v>Solid Beta</v>
      </c>
      <c r="K273" s="3" t="str">
        <v/>
      </c>
      <c r="L273" s="3" t="str">
        <v/>
      </c>
      <c r="M273" s="3">
        <v>4017</v>
      </c>
      <c r="N273" s="3">
        <v>1135</v>
      </c>
      <c r="O273" s="3">
        <v>800</v>
      </c>
      <c r="P273" s="3">
        <v>2125</v>
      </c>
      <c r="Q273" s="3">
        <v>-269.293291882434</v>
      </c>
      <c r="R273" s="3">
        <v>0</v>
      </c>
      <c r="S273" s="3">
        <v>3.8954333798911098E-2</v>
      </c>
      <c r="T273" s="3">
        <v>1</v>
      </c>
      <c r="U273" s="3">
        <v>35067990.484872296</v>
      </c>
      <c r="V273" s="3">
        <v>-2</v>
      </c>
      <c r="W273" s="3">
        <v>-284930.53224519902</v>
      </c>
      <c r="X273" s="3">
        <v>-1</v>
      </c>
      <c r="Y273" s="3">
        <v>16078.5582219262</v>
      </c>
      <c r="Z273" s="3">
        <v>-0.5</v>
      </c>
      <c r="AA273" s="3">
        <v>0</v>
      </c>
      <c r="AB273" s="3">
        <v>0</v>
      </c>
      <c r="AC273" s="3">
        <v>0</v>
      </c>
      <c r="AD273" s="3">
        <v>0</v>
      </c>
      <c r="AE273" s="3">
        <v>0</v>
      </c>
      <c r="AF273" s="3">
        <v>0</v>
      </c>
    </row>
    <row r="274" spans="8:32" x14ac:dyDescent="0.35">
      <c r="H274" s="3" t="str">
        <v>Zr</v>
      </c>
      <c r="I274" s="3" t="str">
        <v>Zirconium</v>
      </c>
      <c r="J274" s="3" t="str">
        <v>Solid Beta</v>
      </c>
      <c r="K274" s="3" t="str">
        <v/>
      </c>
      <c r="L274" s="3" t="str">
        <v/>
      </c>
      <c r="M274" s="3">
        <v>4017</v>
      </c>
      <c r="N274" s="3">
        <v>1135</v>
      </c>
      <c r="O274" s="3">
        <v>2125</v>
      </c>
      <c r="P274" s="3">
        <v>2600</v>
      </c>
      <c r="Q274" s="3">
        <v>-25.162465406552698</v>
      </c>
      <c r="R274" s="3">
        <v>0</v>
      </c>
      <c r="S274" s="3">
        <v>2.3434744329453399E-2</v>
      </c>
      <c r="T274" s="3">
        <v>1</v>
      </c>
      <c r="U274" s="3">
        <v>51126656.651811399</v>
      </c>
      <c r="V274" s="3">
        <v>-2</v>
      </c>
      <c r="W274" s="3">
        <v>0</v>
      </c>
      <c r="X274" s="3">
        <v>0</v>
      </c>
      <c r="Y274" s="3">
        <v>0</v>
      </c>
      <c r="Z274" s="3">
        <v>0</v>
      </c>
      <c r="AA274" s="3">
        <v>0</v>
      </c>
      <c r="AB274" s="3">
        <v>0</v>
      </c>
      <c r="AC274" s="3">
        <v>0</v>
      </c>
      <c r="AD274" s="3">
        <v>0</v>
      </c>
      <c r="AE274" s="3">
        <v>0</v>
      </c>
      <c r="AF274" s="3">
        <v>0</v>
      </c>
    </row>
    <row r="275" spans="8:32" x14ac:dyDescent="0.35">
      <c r="H275" s="3" t="str">
        <v>Zr</v>
      </c>
      <c r="I275" s="3" t="str">
        <v>Zirconium</v>
      </c>
      <c r="J275" s="3" t="str">
        <v>Liquid-1</v>
      </c>
      <c r="K275" s="3" t="str">
        <v/>
      </c>
      <c r="L275" s="3" t="str">
        <v/>
      </c>
      <c r="M275" s="3">
        <v>20920</v>
      </c>
      <c r="N275" s="3">
        <v>2125</v>
      </c>
      <c r="O275" s="3">
        <v>298.14999999999998</v>
      </c>
      <c r="P275" s="3">
        <v>1580</v>
      </c>
      <c r="Q275" s="3">
        <v>-14.9598625367342</v>
      </c>
      <c r="R275" s="3">
        <v>0</v>
      </c>
      <c r="S275" s="3">
        <v>2.9843935952492701E-2</v>
      </c>
      <c r="T275" s="3">
        <v>1</v>
      </c>
      <c r="U275" s="3">
        <v>-695773.30472015205</v>
      </c>
      <c r="V275" s="3">
        <v>-2</v>
      </c>
      <c r="W275" s="3">
        <v>-4.5591263099910698E-6</v>
      </c>
      <c r="X275" s="3">
        <v>2</v>
      </c>
      <c r="Y275" s="3">
        <v>681.53005609059005</v>
      </c>
      <c r="Z275" s="3">
        <v>-0.5</v>
      </c>
      <c r="AA275" s="3">
        <v>0</v>
      </c>
      <c r="AB275" s="3">
        <v>0</v>
      </c>
      <c r="AC275" s="3">
        <v>0</v>
      </c>
      <c r="AD275" s="3">
        <v>0</v>
      </c>
      <c r="AE275" s="3">
        <v>0</v>
      </c>
      <c r="AF275" s="3">
        <v>0</v>
      </c>
    </row>
    <row r="276" spans="8:32" x14ac:dyDescent="0.35">
      <c r="H276" s="3" t="str">
        <v>Zr</v>
      </c>
      <c r="I276" s="3" t="str">
        <v>Zirconium</v>
      </c>
      <c r="J276" s="3" t="str">
        <v>Liquid-1</v>
      </c>
      <c r="K276" s="3" t="str">
        <v/>
      </c>
      <c r="L276" s="3" t="str">
        <v/>
      </c>
      <c r="M276" s="3">
        <v>20920</v>
      </c>
      <c r="N276" s="3">
        <v>2125</v>
      </c>
      <c r="O276" s="3">
        <v>1580</v>
      </c>
      <c r="P276" s="3">
        <v>5500</v>
      </c>
      <c r="Q276" s="3">
        <v>41.84</v>
      </c>
      <c r="R276" s="3">
        <v>0</v>
      </c>
      <c r="S276" s="3">
        <v>0</v>
      </c>
      <c r="T276" s="3">
        <v>0</v>
      </c>
      <c r="U276" s="3">
        <v>0</v>
      </c>
      <c r="V276" s="3">
        <v>0</v>
      </c>
      <c r="W276" s="3">
        <v>0</v>
      </c>
      <c r="X276" s="3">
        <v>0</v>
      </c>
      <c r="Y276" s="3">
        <v>0</v>
      </c>
      <c r="Z276" s="3">
        <v>0</v>
      </c>
      <c r="AA276" s="3">
        <v>0</v>
      </c>
      <c r="AB276" s="3">
        <v>0</v>
      </c>
      <c r="AC276" s="3">
        <v>0</v>
      </c>
      <c r="AD276" s="3">
        <v>0</v>
      </c>
      <c r="AE276" s="3">
        <v>0</v>
      </c>
      <c r="AF276" s="3">
        <v>0</v>
      </c>
    </row>
    <row r="277" spans="8:32" x14ac:dyDescent="0.35">
      <c r="H277" s="3" t="str">
        <v>Zr</v>
      </c>
      <c r="I277" s="3" t="str">
        <v>Zirconium</v>
      </c>
      <c r="J277" s="3" t="str">
        <v>Gas-1</v>
      </c>
      <c r="K277" s="3">
        <v>610027</v>
      </c>
      <c r="L277" s="3">
        <v>183.02699999999999</v>
      </c>
      <c r="M277" s="3" t="str">
        <v/>
      </c>
      <c r="N277" s="3" t="str">
        <v/>
      </c>
      <c r="O277" s="3">
        <v>298.14999999999998</v>
      </c>
      <c r="P277" s="3">
        <v>1100</v>
      </c>
      <c r="Q277" s="3">
        <v>-114.498502677704</v>
      </c>
      <c r="R277" s="3">
        <v>0</v>
      </c>
      <c r="S277" s="3">
        <v>3.5034858494808203E-2</v>
      </c>
      <c r="T277" s="3">
        <v>1</v>
      </c>
      <c r="U277" s="3">
        <v>1549607.98335109</v>
      </c>
      <c r="V277" s="3">
        <v>-2</v>
      </c>
      <c r="W277" s="3">
        <v>-50295.076895666702</v>
      </c>
      <c r="X277" s="3">
        <v>-1</v>
      </c>
      <c r="Y277" s="3">
        <v>4836.1637804433403</v>
      </c>
      <c r="Z277" s="3">
        <v>-0.5</v>
      </c>
      <c r="AA277" s="3">
        <v>0</v>
      </c>
      <c r="AB277" s="3">
        <v>0</v>
      </c>
      <c r="AC277" s="3">
        <v>0</v>
      </c>
      <c r="AD277" s="3">
        <v>0</v>
      </c>
      <c r="AE277" s="3">
        <v>0</v>
      </c>
      <c r="AF277" s="3">
        <v>0</v>
      </c>
    </row>
    <row r="278" spans="8:32" x14ac:dyDescent="0.35">
      <c r="H278" s="3" t="str">
        <v>Zr</v>
      </c>
      <c r="I278" s="3" t="str">
        <v>Zirconium</v>
      </c>
      <c r="J278" s="3" t="str">
        <v>Gas-1</v>
      </c>
      <c r="K278" s="3">
        <v>610027</v>
      </c>
      <c r="L278" s="3">
        <v>183.02699999999999</v>
      </c>
      <c r="M278" s="3" t="str">
        <v/>
      </c>
      <c r="N278" s="3" t="str">
        <v/>
      </c>
      <c r="O278" s="3">
        <v>1100</v>
      </c>
      <c r="P278" s="3">
        <v>3300</v>
      </c>
      <c r="Q278" s="3">
        <v>-236.499093220345</v>
      </c>
      <c r="R278" s="3">
        <v>0</v>
      </c>
      <c r="S278" s="3">
        <v>1.29974456297022E-2</v>
      </c>
      <c r="T278" s="3">
        <v>1</v>
      </c>
      <c r="U278" s="3">
        <v>111047549.53839</v>
      </c>
      <c r="V278" s="3">
        <v>-2</v>
      </c>
      <c r="W278" s="3">
        <v>4.6783247611855201E-7</v>
      </c>
      <c r="X278" s="3">
        <v>2</v>
      </c>
      <c r="Y278" s="3">
        <v>-554783.31087936996</v>
      </c>
      <c r="Z278" s="3">
        <v>-1</v>
      </c>
      <c r="AA278" s="3">
        <v>21877.2196916625</v>
      </c>
      <c r="AB278" s="3">
        <v>-0.5</v>
      </c>
      <c r="AC278" s="3">
        <v>0</v>
      </c>
      <c r="AD278" s="3">
        <v>0</v>
      </c>
      <c r="AE278" s="3">
        <v>0</v>
      </c>
      <c r="AF278" s="3">
        <v>0</v>
      </c>
    </row>
    <row r="279" spans="8:32" x14ac:dyDescent="0.35">
      <c r="H279" s="3" t="str">
        <v>Nb</v>
      </c>
      <c r="I279" s="3" t="str">
        <v>Niobium</v>
      </c>
      <c r="J279" s="3" t="str">
        <v>Solid-1</v>
      </c>
      <c r="K279" s="3">
        <v>0</v>
      </c>
      <c r="L279" s="3">
        <v>36.463999999999999</v>
      </c>
      <c r="M279" s="3" t="str">
        <v/>
      </c>
      <c r="N279" s="3" t="str">
        <v/>
      </c>
      <c r="O279" s="3">
        <v>298.14999999999998</v>
      </c>
      <c r="P279" s="3">
        <v>2000</v>
      </c>
      <c r="Q279" s="3">
        <v>40.450093274157197</v>
      </c>
      <c r="R279" s="3">
        <v>0</v>
      </c>
      <c r="S279" s="3">
        <v>-7.0368773183938898E-3</v>
      </c>
      <c r="T279" s="3">
        <v>1</v>
      </c>
      <c r="U279" s="3">
        <v>232567.013981806</v>
      </c>
      <c r="V279" s="3">
        <v>-2</v>
      </c>
      <c r="W279" s="3">
        <v>3.33200642338101E-6</v>
      </c>
      <c r="X279" s="3">
        <v>2</v>
      </c>
      <c r="Y279" s="3">
        <v>-285.62674403022601</v>
      </c>
      <c r="Z279" s="3">
        <v>-0.5</v>
      </c>
      <c r="AA279" s="3">
        <v>0</v>
      </c>
      <c r="AB279" s="3">
        <v>0</v>
      </c>
      <c r="AC279" s="3">
        <v>0</v>
      </c>
      <c r="AD279" s="3">
        <v>0</v>
      </c>
      <c r="AE279" s="3">
        <v>0</v>
      </c>
      <c r="AF279" s="3">
        <v>0</v>
      </c>
    </row>
    <row r="280" spans="8:32" x14ac:dyDescent="0.35">
      <c r="H280" s="3" t="str">
        <v>Nb</v>
      </c>
      <c r="I280" s="3" t="str">
        <v>Niobium</v>
      </c>
      <c r="J280" s="3" t="str">
        <v>Solid-1</v>
      </c>
      <c r="K280" s="3">
        <v>0</v>
      </c>
      <c r="L280" s="3">
        <v>36.463999999999999</v>
      </c>
      <c r="M280" s="3" t="str">
        <v/>
      </c>
      <c r="N280" s="3" t="str">
        <v/>
      </c>
      <c r="O280" s="3">
        <v>2000</v>
      </c>
      <c r="P280" s="3">
        <v>3200</v>
      </c>
      <c r="Q280" s="3">
        <v>-3069.5380388451799</v>
      </c>
      <c r="R280" s="3">
        <v>0</v>
      </c>
      <c r="S280" s="3">
        <v>0.234195104926916</v>
      </c>
      <c r="T280" s="3">
        <v>1</v>
      </c>
      <c r="U280" s="3">
        <v>303418921.88825798</v>
      </c>
      <c r="V280" s="3">
        <v>-2</v>
      </c>
      <c r="W280" s="3">
        <v>-3931263.8698098399</v>
      </c>
      <c r="X280" s="3">
        <v>-1</v>
      </c>
      <c r="Y280" s="3">
        <v>202332.87971901899</v>
      </c>
      <c r="Z280" s="3">
        <v>-0.5</v>
      </c>
      <c r="AA280" s="3">
        <v>0</v>
      </c>
      <c r="AB280" s="3">
        <v>0</v>
      </c>
      <c r="AC280" s="3">
        <v>0</v>
      </c>
      <c r="AD280" s="3">
        <v>0</v>
      </c>
      <c r="AE280" s="3">
        <v>0</v>
      </c>
      <c r="AF280" s="3">
        <v>0</v>
      </c>
    </row>
    <row r="281" spans="8:32" x14ac:dyDescent="0.35">
      <c r="H281" s="3" t="str">
        <v>Nb</v>
      </c>
      <c r="I281" s="3" t="str">
        <v>Niobium</v>
      </c>
      <c r="J281" s="3" t="str">
        <v>Solid-1</v>
      </c>
      <c r="K281" s="3">
        <v>0</v>
      </c>
      <c r="L281" s="3">
        <v>36.463999999999999</v>
      </c>
      <c r="M281" s="3" t="str">
        <v/>
      </c>
      <c r="N281" s="3" t="str">
        <v/>
      </c>
      <c r="O281" s="3">
        <v>3200</v>
      </c>
      <c r="P281" s="3">
        <v>3201</v>
      </c>
      <c r="Q281" s="3">
        <v>33.472000000000001</v>
      </c>
      <c r="R281" s="3">
        <v>0</v>
      </c>
      <c r="S281" s="3">
        <v>0</v>
      </c>
      <c r="T281" s="3">
        <v>0</v>
      </c>
      <c r="U281" s="3">
        <v>0</v>
      </c>
      <c r="V281" s="3">
        <v>0</v>
      </c>
      <c r="W281" s="3">
        <v>0</v>
      </c>
      <c r="X281" s="3">
        <v>0</v>
      </c>
      <c r="Y281" s="3">
        <v>0</v>
      </c>
      <c r="Z281" s="3">
        <v>0</v>
      </c>
      <c r="AA281" s="3">
        <v>0</v>
      </c>
      <c r="AB281" s="3">
        <v>0</v>
      </c>
      <c r="AC281" s="3">
        <v>0</v>
      </c>
      <c r="AD281" s="3">
        <v>0</v>
      </c>
      <c r="AE281" s="3">
        <v>0</v>
      </c>
      <c r="AF281" s="3">
        <v>0</v>
      </c>
    </row>
    <row r="282" spans="8:32" x14ac:dyDescent="0.35">
      <c r="H282" s="3" t="str">
        <v>Nb</v>
      </c>
      <c r="I282" s="3" t="str">
        <v>Niobium</v>
      </c>
      <c r="J282" s="3" t="str">
        <v>Liquid-1</v>
      </c>
      <c r="K282" s="3" t="str">
        <v/>
      </c>
      <c r="L282" s="3" t="str">
        <v/>
      </c>
      <c r="M282" s="3">
        <v>26908</v>
      </c>
      <c r="N282" s="3">
        <v>2750</v>
      </c>
      <c r="O282" s="3">
        <v>298.14999999999998</v>
      </c>
      <c r="P282" s="3">
        <v>6000</v>
      </c>
      <c r="Q282" s="3">
        <v>33.472000000000001</v>
      </c>
      <c r="R282" s="3">
        <v>0</v>
      </c>
      <c r="S282" s="3">
        <v>0</v>
      </c>
      <c r="T282" s="3">
        <v>0</v>
      </c>
      <c r="U282" s="3">
        <v>0</v>
      </c>
      <c r="V282" s="3">
        <v>0</v>
      </c>
      <c r="W282" s="3">
        <v>0</v>
      </c>
      <c r="X282" s="3">
        <v>0</v>
      </c>
      <c r="Y282" s="3">
        <v>0</v>
      </c>
      <c r="Z282" s="3">
        <v>0</v>
      </c>
      <c r="AA282" s="3">
        <v>0</v>
      </c>
      <c r="AB282" s="3">
        <v>0</v>
      </c>
      <c r="AC282" s="3">
        <v>0</v>
      </c>
      <c r="AD282" s="3">
        <v>0</v>
      </c>
      <c r="AE282" s="3">
        <v>0</v>
      </c>
      <c r="AF282" s="3">
        <v>0</v>
      </c>
    </row>
    <row r="283" spans="8:32" x14ac:dyDescent="0.35">
      <c r="H283" s="3" t="str">
        <v>Nb</v>
      </c>
      <c r="I283" s="3" t="str">
        <v>Niobium</v>
      </c>
      <c r="J283" s="3" t="str">
        <v>Gas-1</v>
      </c>
      <c r="K283" s="3">
        <v>733037</v>
      </c>
      <c r="L283" s="3">
        <v>186.25899999999999</v>
      </c>
      <c r="M283" s="3" t="str">
        <v/>
      </c>
      <c r="N283" s="3" t="str">
        <v/>
      </c>
      <c r="O283" s="3">
        <v>298.14999999999998</v>
      </c>
      <c r="P283" s="3">
        <v>2400</v>
      </c>
      <c r="Q283" s="3">
        <v>27.190414240056398</v>
      </c>
      <c r="R283" s="3">
        <v>0</v>
      </c>
      <c r="S283" s="3">
        <v>-6.0186836958908297E-3</v>
      </c>
      <c r="T283" s="3">
        <v>1</v>
      </c>
      <c r="U283" s="3">
        <v>-516808.15617777</v>
      </c>
      <c r="V283" s="3">
        <v>-2</v>
      </c>
      <c r="W283" s="3">
        <v>2.11450111188966E-6</v>
      </c>
      <c r="X283" s="3">
        <v>2</v>
      </c>
      <c r="Y283" s="3">
        <v>3097.46533316666</v>
      </c>
      <c r="Z283" s="3">
        <v>-1</v>
      </c>
      <c r="AA283" s="3">
        <v>0</v>
      </c>
      <c r="AB283" s="3">
        <v>0</v>
      </c>
      <c r="AC283" s="3">
        <v>0</v>
      </c>
      <c r="AD283" s="3">
        <v>0</v>
      </c>
      <c r="AE283" s="3">
        <v>0</v>
      </c>
      <c r="AF283" s="3">
        <v>0</v>
      </c>
    </row>
    <row r="284" spans="8:32" x14ac:dyDescent="0.35">
      <c r="H284" s="3" t="str">
        <v>Nb</v>
      </c>
      <c r="I284" s="3" t="str">
        <v>Niobium</v>
      </c>
      <c r="J284" s="3" t="str">
        <v>Gas-1</v>
      </c>
      <c r="K284" s="3">
        <v>733037</v>
      </c>
      <c r="L284" s="3">
        <v>186.25899999999999</v>
      </c>
      <c r="M284" s="3" t="str">
        <v/>
      </c>
      <c r="N284" s="3" t="str">
        <v/>
      </c>
      <c r="O284" s="3">
        <v>2400</v>
      </c>
      <c r="P284" s="3">
        <v>5130.82</v>
      </c>
      <c r="Q284" s="3">
        <v>1.64397852814593</v>
      </c>
      <c r="R284" s="3">
        <v>0</v>
      </c>
      <c r="S284" s="3">
        <v>1.5191113418423199E-3</v>
      </c>
      <c r="T284" s="3">
        <v>1</v>
      </c>
      <c r="U284" s="3">
        <v>207343046.069736</v>
      </c>
      <c r="V284" s="3">
        <v>-2</v>
      </c>
      <c r="W284" s="3">
        <v>-327201.191106994</v>
      </c>
      <c r="X284" s="3">
        <v>-1</v>
      </c>
      <c r="Y284" s="3">
        <v>5936.2361970457296</v>
      </c>
      <c r="Z284" s="3">
        <v>-0.5</v>
      </c>
      <c r="AA284" s="3">
        <v>0</v>
      </c>
      <c r="AB284" s="3">
        <v>0</v>
      </c>
      <c r="AC284" s="3">
        <v>0</v>
      </c>
      <c r="AD284" s="3">
        <v>0</v>
      </c>
      <c r="AE284" s="3">
        <v>0</v>
      </c>
      <c r="AF284" s="3">
        <v>0</v>
      </c>
    </row>
    <row r="285" spans="8:32" x14ac:dyDescent="0.35">
      <c r="H285" s="3" t="str">
        <v>Nb</v>
      </c>
      <c r="I285" s="3" t="str">
        <v>Niobium</v>
      </c>
      <c r="J285" s="3" t="str">
        <v>Gas-1</v>
      </c>
      <c r="K285" s="3">
        <v>733037</v>
      </c>
      <c r="L285" s="3">
        <v>186.25899999999999</v>
      </c>
      <c r="M285" s="3" t="str">
        <v/>
      </c>
      <c r="N285" s="3" t="str">
        <v/>
      </c>
      <c r="O285" s="3">
        <v>5130.82</v>
      </c>
      <c r="P285" s="3">
        <v>6000</v>
      </c>
      <c r="Q285" s="3">
        <v>1146.1553711046899</v>
      </c>
      <c r="R285" s="3">
        <v>0</v>
      </c>
      <c r="S285" s="3">
        <v>-10292206021.937</v>
      </c>
      <c r="T285" s="3">
        <v>-2</v>
      </c>
      <c r="U285" s="3">
        <v>11554061.040490201</v>
      </c>
      <c r="V285" s="3">
        <v>-1</v>
      </c>
      <c r="W285" s="3">
        <v>-212788.33184453499</v>
      </c>
      <c r="X285" s="3">
        <v>-0.5</v>
      </c>
      <c r="Y285" s="3">
        <v>0</v>
      </c>
      <c r="Z285" s="3">
        <v>0</v>
      </c>
      <c r="AA285" s="3">
        <v>0</v>
      </c>
      <c r="AB285" s="3">
        <v>0</v>
      </c>
      <c r="AC285" s="3">
        <v>0</v>
      </c>
      <c r="AD285" s="3">
        <v>0</v>
      </c>
      <c r="AE285" s="3">
        <v>0</v>
      </c>
      <c r="AF285" s="3">
        <v>0</v>
      </c>
    </row>
    <row r="286" spans="8:32" x14ac:dyDescent="0.35">
      <c r="H286" s="3" t="str">
        <v>Mo</v>
      </c>
      <c r="I286" s="3" t="str">
        <v>Molybdenum</v>
      </c>
      <c r="J286" s="3" t="str">
        <v>Solid-1</v>
      </c>
      <c r="K286" s="3">
        <v>0</v>
      </c>
      <c r="L286" s="3">
        <v>28.605</v>
      </c>
      <c r="M286" s="3" t="str">
        <v/>
      </c>
      <c r="N286" s="3" t="str">
        <v/>
      </c>
      <c r="O286" s="3">
        <v>298.14999999999998</v>
      </c>
      <c r="P286" s="3">
        <v>2000</v>
      </c>
      <c r="Q286" s="3">
        <v>32.960410694352497</v>
      </c>
      <c r="R286" s="3">
        <v>0</v>
      </c>
      <c r="S286" s="3">
        <v>-6.1941617834421403E-3</v>
      </c>
      <c r="T286" s="3">
        <v>1</v>
      </c>
      <c r="U286" s="3">
        <v>214395.674168153</v>
      </c>
      <c r="V286" s="3">
        <v>-2</v>
      </c>
      <c r="W286" s="3">
        <v>4.38016389184435E-6</v>
      </c>
      <c r="X286" s="3">
        <v>2</v>
      </c>
      <c r="Y286" s="3">
        <v>-2976.23220100768</v>
      </c>
      <c r="Z286" s="3">
        <v>-1</v>
      </c>
      <c r="AA286" s="3">
        <v>0</v>
      </c>
      <c r="AB286" s="3">
        <v>0</v>
      </c>
      <c r="AC286" s="3">
        <v>0</v>
      </c>
      <c r="AD286" s="3">
        <v>0</v>
      </c>
      <c r="AE286" s="3">
        <v>0</v>
      </c>
      <c r="AF286" s="3">
        <v>0</v>
      </c>
    </row>
    <row r="287" spans="8:32" x14ac:dyDescent="0.35">
      <c r="H287" s="3" t="str">
        <v>Mo</v>
      </c>
      <c r="I287" s="3" t="str">
        <v>Molybdenum</v>
      </c>
      <c r="J287" s="3" t="str">
        <v>Solid-1</v>
      </c>
      <c r="K287" s="3">
        <v>0</v>
      </c>
      <c r="L287" s="3">
        <v>28.605</v>
      </c>
      <c r="M287" s="3" t="str">
        <v/>
      </c>
      <c r="N287" s="3" t="str">
        <v/>
      </c>
      <c r="O287" s="3">
        <v>2000</v>
      </c>
      <c r="P287" s="3">
        <v>2896</v>
      </c>
      <c r="Q287" s="3">
        <v>-17529.7682539936</v>
      </c>
      <c r="R287" s="3">
        <v>0</v>
      </c>
      <c r="S287" s="3">
        <v>0.92972773491183602</v>
      </c>
      <c r="T287" s="3">
        <v>1</v>
      </c>
      <c r="U287" s="3">
        <v>8877348849.0830307</v>
      </c>
      <c r="V287" s="3">
        <v>-2</v>
      </c>
      <c r="W287" s="3">
        <v>-37388859.310742296</v>
      </c>
      <c r="X287" s="3">
        <v>-1</v>
      </c>
      <c r="Y287" s="3">
        <v>1439225.6307327</v>
      </c>
      <c r="Z287" s="3">
        <v>-0.5</v>
      </c>
      <c r="AA287" s="3">
        <v>0</v>
      </c>
      <c r="AB287" s="3">
        <v>0</v>
      </c>
      <c r="AC287" s="3">
        <v>0</v>
      </c>
      <c r="AD287" s="3">
        <v>0</v>
      </c>
      <c r="AE287" s="3">
        <v>0</v>
      </c>
      <c r="AF287" s="3">
        <v>0</v>
      </c>
    </row>
    <row r="288" spans="8:32" x14ac:dyDescent="0.35">
      <c r="H288" s="3" t="str">
        <v>Mo</v>
      </c>
      <c r="I288" s="3" t="str">
        <v>Molybdenum</v>
      </c>
      <c r="J288" s="3" t="str">
        <v>Solid-1</v>
      </c>
      <c r="K288" s="3">
        <v>0</v>
      </c>
      <c r="L288" s="3">
        <v>28.605</v>
      </c>
      <c r="M288" s="3" t="str">
        <v/>
      </c>
      <c r="N288" s="3" t="str">
        <v/>
      </c>
      <c r="O288" s="3">
        <v>2896</v>
      </c>
      <c r="P288" s="3">
        <v>3300</v>
      </c>
      <c r="Q288" s="3">
        <v>-60.460983252933197</v>
      </c>
      <c r="R288" s="3">
        <v>0</v>
      </c>
      <c r="S288" s="3">
        <v>2162915185.2807698</v>
      </c>
      <c r="T288" s="3">
        <v>-2</v>
      </c>
      <c r="U288" s="3">
        <v>-3127334.3262716602</v>
      </c>
      <c r="V288" s="3">
        <v>-1</v>
      </c>
      <c r="W288" s="3">
        <v>50442.518749288603</v>
      </c>
      <c r="X288" s="3">
        <v>-0.5</v>
      </c>
      <c r="Y288" s="3">
        <v>0</v>
      </c>
      <c r="Z288" s="3">
        <v>0</v>
      </c>
      <c r="AA288" s="3">
        <v>0</v>
      </c>
      <c r="AB288" s="3">
        <v>0</v>
      </c>
      <c r="AC288" s="3">
        <v>0</v>
      </c>
      <c r="AD288" s="3">
        <v>0</v>
      </c>
      <c r="AE288" s="3">
        <v>0</v>
      </c>
      <c r="AF288" s="3">
        <v>0</v>
      </c>
    </row>
    <row r="289" spans="8:32" x14ac:dyDescent="0.35">
      <c r="H289" s="3" t="str">
        <v>Mo</v>
      </c>
      <c r="I289" s="3" t="str">
        <v>Molybdenum</v>
      </c>
      <c r="J289" s="3" t="str">
        <v>Solid-1</v>
      </c>
      <c r="K289" s="3">
        <v>0</v>
      </c>
      <c r="L289" s="3">
        <v>28.605</v>
      </c>
      <c r="M289" s="3" t="str">
        <v/>
      </c>
      <c r="N289" s="3" t="str">
        <v/>
      </c>
      <c r="O289" s="3">
        <v>3300</v>
      </c>
      <c r="P289" s="3">
        <v>3301</v>
      </c>
      <c r="Q289" s="3">
        <v>37.655999999999999</v>
      </c>
      <c r="R289" s="3">
        <v>0</v>
      </c>
      <c r="S289" s="3">
        <v>0</v>
      </c>
      <c r="T289" s="3">
        <v>0</v>
      </c>
      <c r="U289" s="3">
        <v>0</v>
      </c>
      <c r="V289" s="3">
        <v>0</v>
      </c>
      <c r="W289" s="3">
        <v>0</v>
      </c>
      <c r="X289" s="3">
        <v>0</v>
      </c>
      <c r="Y289" s="3">
        <v>0</v>
      </c>
      <c r="Z289" s="3">
        <v>0</v>
      </c>
      <c r="AA289" s="3">
        <v>0</v>
      </c>
      <c r="AB289" s="3">
        <v>0</v>
      </c>
      <c r="AC289" s="3">
        <v>0</v>
      </c>
      <c r="AD289" s="3">
        <v>0</v>
      </c>
      <c r="AE289" s="3">
        <v>0</v>
      </c>
      <c r="AF289" s="3">
        <v>0</v>
      </c>
    </row>
    <row r="290" spans="8:32" x14ac:dyDescent="0.35">
      <c r="H290" s="3" t="str">
        <v>Mo</v>
      </c>
      <c r="I290" s="3" t="str">
        <v>Molybdenum</v>
      </c>
      <c r="J290" s="3" t="str">
        <v>Liquid-1</v>
      </c>
      <c r="K290" s="3" t="str">
        <v/>
      </c>
      <c r="L290" s="3" t="str">
        <v/>
      </c>
      <c r="M290" s="3">
        <v>36000</v>
      </c>
      <c r="N290" s="3">
        <v>2896</v>
      </c>
      <c r="O290" s="3">
        <v>298.14999999999998</v>
      </c>
      <c r="P290" s="3">
        <v>1000</v>
      </c>
      <c r="Q290" s="3">
        <v>36.576059112099998</v>
      </c>
      <c r="R290" s="3">
        <v>0</v>
      </c>
      <c r="S290" s="3">
        <v>-5.2720718800610602E-3</v>
      </c>
      <c r="T290" s="3">
        <v>1</v>
      </c>
      <c r="U290" s="3">
        <v>33677.338259397497</v>
      </c>
      <c r="V290" s="3">
        <v>-2</v>
      </c>
      <c r="W290" s="3">
        <v>3.4477311091520701E-6</v>
      </c>
      <c r="X290" s="3">
        <v>2</v>
      </c>
      <c r="Y290" s="3">
        <v>-203.00308646596699</v>
      </c>
      <c r="Z290" s="3">
        <v>-0.5</v>
      </c>
      <c r="AA290" s="3">
        <v>0</v>
      </c>
      <c r="AB290" s="3">
        <v>0</v>
      </c>
      <c r="AC290" s="3">
        <v>0</v>
      </c>
      <c r="AD290" s="3">
        <v>0</v>
      </c>
      <c r="AE290" s="3">
        <v>0</v>
      </c>
      <c r="AF290" s="3">
        <v>0</v>
      </c>
    </row>
    <row r="291" spans="8:32" x14ac:dyDescent="0.35">
      <c r="H291" s="3" t="str">
        <v>Mo</v>
      </c>
      <c r="I291" s="3" t="str">
        <v>Molybdenum</v>
      </c>
      <c r="J291" s="3" t="str">
        <v>Liquid-1</v>
      </c>
      <c r="K291" s="3" t="str">
        <v/>
      </c>
      <c r="L291" s="3" t="str">
        <v/>
      </c>
      <c r="M291" s="3">
        <v>36000</v>
      </c>
      <c r="N291" s="3">
        <v>2896</v>
      </c>
      <c r="O291" s="3">
        <v>1000</v>
      </c>
      <c r="P291" s="3">
        <v>2150</v>
      </c>
      <c r="Q291" s="3">
        <v>-309.12870731972203</v>
      </c>
      <c r="R291" s="3">
        <v>0</v>
      </c>
      <c r="S291" s="3">
        <v>4.13127989139353E-2</v>
      </c>
      <c r="T291" s="3">
        <v>1</v>
      </c>
      <c r="U291" s="3">
        <v>45836546.442120902</v>
      </c>
      <c r="V291" s="3">
        <v>-2</v>
      </c>
      <c r="W291" s="3">
        <v>-360586.71371545299</v>
      </c>
      <c r="X291" s="3">
        <v>-1</v>
      </c>
      <c r="Y291" s="3">
        <v>19319.364577026899</v>
      </c>
      <c r="Z291" s="3">
        <v>-0.5</v>
      </c>
      <c r="AA291" s="3">
        <v>0</v>
      </c>
      <c r="AB291" s="3">
        <v>0</v>
      </c>
      <c r="AC291" s="3">
        <v>0</v>
      </c>
      <c r="AD291" s="3">
        <v>0</v>
      </c>
      <c r="AE291" s="3">
        <v>0</v>
      </c>
      <c r="AF291" s="3">
        <v>0</v>
      </c>
    </row>
    <row r="292" spans="8:32" x14ac:dyDescent="0.35">
      <c r="H292" s="3" t="str">
        <v>Mo</v>
      </c>
      <c r="I292" s="3" t="str">
        <v>Molybdenum</v>
      </c>
      <c r="J292" s="3" t="str">
        <v>Liquid-1</v>
      </c>
      <c r="K292" s="3" t="str">
        <v/>
      </c>
      <c r="L292" s="3" t="str">
        <v/>
      </c>
      <c r="M292" s="3">
        <v>36000</v>
      </c>
      <c r="N292" s="3">
        <v>2896</v>
      </c>
      <c r="O292" s="3">
        <v>2150</v>
      </c>
      <c r="P292" s="3">
        <v>6000</v>
      </c>
      <c r="Q292" s="3">
        <v>37.655999999999999</v>
      </c>
      <c r="R292" s="3">
        <v>0</v>
      </c>
      <c r="S292" s="3">
        <v>0</v>
      </c>
      <c r="T292" s="3">
        <v>0</v>
      </c>
      <c r="U292" s="3">
        <v>0</v>
      </c>
      <c r="V292" s="3">
        <v>0</v>
      </c>
      <c r="W292" s="3">
        <v>0</v>
      </c>
      <c r="X292" s="3">
        <v>0</v>
      </c>
      <c r="Y292" s="3">
        <v>0</v>
      </c>
      <c r="Z292" s="3">
        <v>0</v>
      </c>
      <c r="AA292" s="3">
        <v>0</v>
      </c>
      <c r="AB292" s="3">
        <v>0</v>
      </c>
      <c r="AC292" s="3">
        <v>0</v>
      </c>
      <c r="AD292" s="3">
        <v>0</v>
      </c>
      <c r="AE292" s="3">
        <v>0</v>
      </c>
      <c r="AF292" s="3">
        <v>0</v>
      </c>
    </row>
    <row r="293" spans="8:32" x14ac:dyDescent="0.35">
      <c r="H293" s="3" t="str">
        <v>Mo</v>
      </c>
      <c r="I293" s="3" t="str">
        <v>Molybdenum</v>
      </c>
      <c r="J293" s="3" t="str">
        <v>Gas-1</v>
      </c>
      <c r="K293" s="3">
        <v>658980</v>
      </c>
      <c r="L293" s="3">
        <v>181.95099999999999</v>
      </c>
      <c r="M293" s="3" t="str">
        <v/>
      </c>
      <c r="N293" s="3" t="str">
        <v/>
      </c>
      <c r="O293" s="3">
        <v>298.14999999999998</v>
      </c>
      <c r="P293" s="3">
        <v>2200</v>
      </c>
      <c r="Q293" s="3">
        <v>25.881798659148501</v>
      </c>
      <c r="R293" s="3">
        <v>0</v>
      </c>
      <c r="S293" s="3">
        <v>-4.8932503573502501E-3</v>
      </c>
      <c r="T293" s="3">
        <v>1</v>
      </c>
      <c r="U293" s="3">
        <v>292650.90592307801</v>
      </c>
      <c r="V293" s="3">
        <v>-2</v>
      </c>
      <c r="W293" s="3">
        <v>1.58958444723137E-6</v>
      </c>
      <c r="X293" s="3">
        <v>2</v>
      </c>
      <c r="Y293" s="3">
        <v>-2102.3806637689199</v>
      </c>
      <c r="Z293" s="3">
        <v>-1</v>
      </c>
      <c r="AA293" s="3">
        <v>0</v>
      </c>
      <c r="AB293" s="3">
        <v>0</v>
      </c>
      <c r="AC293" s="3">
        <v>0</v>
      </c>
      <c r="AD293" s="3">
        <v>0</v>
      </c>
      <c r="AE293" s="3">
        <v>0</v>
      </c>
      <c r="AF293" s="3">
        <v>0</v>
      </c>
    </row>
    <row r="294" spans="8:32" x14ac:dyDescent="0.35">
      <c r="H294" s="3" t="str">
        <v>Mo</v>
      </c>
      <c r="I294" s="3" t="str">
        <v>Molybdenum</v>
      </c>
      <c r="J294" s="3" t="str">
        <v>Gas-1</v>
      </c>
      <c r="K294" s="3">
        <v>658980</v>
      </c>
      <c r="L294" s="3">
        <v>181.95099999999999</v>
      </c>
      <c r="M294" s="3" t="str">
        <v/>
      </c>
      <c r="N294" s="3" t="str">
        <v/>
      </c>
      <c r="O294" s="3">
        <v>2200</v>
      </c>
      <c r="P294" s="3">
        <v>4951.97</v>
      </c>
      <c r="Q294" s="3">
        <v>952.61175490274798</v>
      </c>
      <c r="R294" s="3">
        <v>0</v>
      </c>
      <c r="S294" s="3">
        <v>-1.25574528944965E-2</v>
      </c>
      <c r="T294" s="3">
        <v>1</v>
      </c>
      <c r="U294" s="3">
        <v>-1266623695.9663899</v>
      </c>
      <c r="V294" s="3">
        <v>-2</v>
      </c>
      <c r="W294" s="3">
        <v>3545742.1834207601</v>
      </c>
      <c r="X294" s="3">
        <v>-1</v>
      </c>
      <c r="Y294" s="3">
        <v>-105678.451962497</v>
      </c>
      <c r="Z294" s="3">
        <v>-0.5</v>
      </c>
      <c r="AA294" s="3">
        <v>0</v>
      </c>
      <c r="AB294" s="3">
        <v>0</v>
      </c>
      <c r="AC294" s="3">
        <v>0</v>
      </c>
      <c r="AD294" s="3">
        <v>0</v>
      </c>
      <c r="AE294" s="3">
        <v>0</v>
      </c>
      <c r="AF294" s="3">
        <v>0</v>
      </c>
    </row>
    <row r="295" spans="8:32" x14ac:dyDescent="0.35">
      <c r="H295" s="3" t="str">
        <v>Mo</v>
      </c>
      <c r="I295" s="3" t="str">
        <v>Molybdenum</v>
      </c>
      <c r="J295" s="3" t="str">
        <v>Gas-1</v>
      </c>
      <c r="K295" s="3">
        <v>658980</v>
      </c>
      <c r="L295" s="3">
        <v>181.95099999999999</v>
      </c>
      <c r="M295" s="3" t="str">
        <v/>
      </c>
      <c r="N295" s="3" t="str">
        <v/>
      </c>
      <c r="O295" s="3">
        <v>4951.97</v>
      </c>
      <c r="P295" s="3">
        <v>6000</v>
      </c>
      <c r="Q295" s="3">
        <v>-411.91962392027699</v>
      </c>
      <c r="R295" s="3">
        <v>0</v>
      </c>
      <c r="S295" s="3">
        <v>7061751798.7968302</v>
      </c>
      <c r="T295" s="3">
        <v>-2</v>
      </c>
      <c r="U295" s="3">
        <v>-7288004.9911501296</v>
      </c>
      <c r="V295" s="3">
        <v>-1</v>
      </c>
      <c r="W295" s="3">
        <v>116021.82897894199</v>
      </c>
      <c r="X295" s="3">
        <v>-0.5</v>
      </c>
      <c r="Y295" s="3">
        <v>0</v>
      </c>
      <c r="Z295" s="3">
        <v>0</v>
      </c>
      <c r="AA295" s="3">
        <v>0</v>
      </c>
      <c r="AB295" s="3">
        <v>0</v>
      </c>
      <c r="AC295" s="3">
        <v>0</v>
      </c>
      <c r="AD295" s="3">
        <v>0</v>
      </c>
      <c r="AE295" s="3">
        <v>0</v>
      </c>
      <c r="AF295" s="3">
        <v>0</v>
      </c>
    </row>
    <row r="296" spans="8:32" x14ac:dyDescent="0.35">
      <c r="H296" s="3" t="str">
        <v>Tc</v>
      </c>
      <c r="I296" s="3" t="str">
        <v>Technetium</v>
      </c>
      <c r="J296" s="3" t="str">
        <v>Solid</v>
      </c>
      <c r="K296" s="3">
        <v>0</v>
      </c>
      <c r="L296" s="3">
        <v>33.472000000000001</v>
      </c>
      <c r="M296" s="3" t="str">
        <v/>
      </c>
      <c r="N296" s="3" t="str">
        <v/>
      </c>
      <c r="O296" s="3">
        <v>298</v>
      </c>
      <c r="P296" s="3">
        <v>2473</v>
      </c>
      <c r="Q296" s="3">
        <v>5.2</v>
      </c>
      <c r="R296" s="3">
        <v>0</v>
      </c>
      <c r="S296" s="3">
        <v>2E-3</v>
      </c>
      <c r="T296" s="3">
        <v>1</v>
      </c>
      <c r="U296" s="3">
        <v>0</v>
      </c>
      <c r="V296" s="3">
        <v>0</v>
      </c>
      <c r="W296" s="3">
        <v>0</v>
      </c>
      <c r="X296" s="3">
        <v>0</v>
      </c>
      <c r="Y296" s="3">
        <v>0</v>
      </c>
      <c r="Z296" s="3">
        <v>0</v>
      </c>
      <c r="AA296" s="3">
        <v>0</v>
      </c>
      <c r="AB296" s="3">
        <v>0</v>
      </c>
      <c r="AC296" s="3">
        <v>0</v>
      </c>
      <c r="AD296" s="3">
        <v>0</v>
      </c>
      <c r="AE296" s="3">
        <v>0</v>
      </c>
      <c r="AF296" s="3">
        <v>0</v>
      </c>
    </row>
    <row r="297" spans="8:32" x14ac:dyDescent="0.35">
      <c r="H297" s="3" t="str">
        <v>Tc</v>
      </c>
      <c r="I297" s="3" t="str">
        <v>Technetium</v>
      </c>
      <c r="J297" s="3" t="str">
        <v>Liquid</v>
      </c>
      <c r="K297" s="3" t="str">
        <v/>
      </c>
      <c r="L297" s="3" t="str">
        <v/>
      </c>
      <c r="M297" s="3">
        <v>23714.912</v>
      </c>
      <c r="N297" s="3">
        <v>2473</v>
      </c>
      <c r="O297" s="3">
        <v>2473</v>
      </c>
      <c r="P297" s="3">
        <v>4840</v>
      </c>
      <c r="Q297" s="3">
        <v>10</v>
      </c>
      <c r="R297" s="3">
        <v>0</v>
      </c>
      <c r="S297" s="3">
        <v>0</v>
      </c>
      <c r="T297" s="3">
        <v>0</v>
      </c>
      <c r="U297" s="3">
        <v>0</v>
      </c>
      <c r="V297" s="3">
        <v>0</v>
      </c>
      <c r="W297" s="3">
        <v>0</v>
      </c>
      <c r="X297" s="3">
        <v>0</v>
      </c>
      <c r="Y297" s="3">
        <v>0</v>
      </c>
      <c r="Z297" s="3">
        <v>0</v>
      </c>
      <c r="AA297" s="3">
        <v>0</v>
      </c>
      <c r="AB297" s="3">
        <v>0</v>
      </c>
      <c r="AC297" s="3">
        <v>0</v>
      </c>
      <c r="AD297" s="3">
        <v>0</v>
      </c>
      <c r="AE297" s="3">
        <v>0</v>
      </c>
      <c r="AF297" s="3">
        <v>0</v>
      </c>
    </row>
    <row r="298" spans="8:32" x14ac:dyDescent="0.35">
      <c r="H298" s="3" t="str">
        <v>Tc</v>
      </c>
      <c r="I298" s="3" t="str">
        <v>Technetium</v>
      </c>
      <c r="J298" s="3" t="str">
        <v>Gas</v>
      </c>
      <c r="K298" s="3">
        <v>677808</v>
      </c>
      <c r="L298" s="3">
        <v>180.958</v>
      </c>
      <c r="M298" s="3" t="str">
        <v/>
      </c>
      <c r="N298" s="3" t="str">
        <v/>
      </c>
      <c r="O298" s="3">
        <v>295</v>
      </c>
      <c r="P298" s="3">
        <v>300</v>
      </c>
      <c r="Q298" s="3">
        <v>4.97</v>
      </c>
      <c r="R298" s="3">
        <v>0</v>
      </c>
      <c r="S298" s="3">
        <v>0</v>
      </c>
      <c r="T298" s="3">
        <v>0</v>
      </c>
      <c r="U298" s="3">
        <v>0</v>
      </c>
      <c r="V298" s="3">
        <v>0</v>
      </c>
      <c r="W298" s="3">
        <v>0</v>
      </c>
      <c r="X298" s="3">
        <v>0</v>
      </c>
      <c r="Y298" s="3">
        <v>0</v>
      </c>
      <c r="Z298" s="3">
        <v>0</v>
      </c>
      <c r="AA298" s="3">
        <v>0</v>
      </c>
      <c r="AB298" s="3">
        <v>0</v>
      </c>
      <c r="AC298" s="3">
        <v>0</v>
      </c>
      <c r="AD298" s="3">
        <v>0</v>
      </c>
      <c r="AE298" s="3">
        <v>0</v>
      </c>
      <c r="AF298" s="3">
        <v>0</v>
      </c>
    </row>
    <row r="299" spans="8:32" x14ac:dyDescent="0.35">
      <c r="H299" s="3" t="str">
        <v>Ru</v>
      </c>
      <c r="I299" s="3" t="str">
        <v>Ruthenium</v>
      </c>
      <c r="J299" s="3" t="str">
        <v>Solid</v>
      </c>
      <c r="K299" s="3">
        <v>0</v>
      </c>
      <c r="L299" s="3">
        <v>28.534880000000001</v>
      </c>
      <c r="M299" s="3" t="str">
        <v/>
      </c>
      <c r="N299" s="3" t="str">
        <v/>
      </c>
      <c r="O299" s="3">
        <v>298</v>
      </c>
      <c r="P299" s="3">
        <v>1600</v>
      </c>
      <c r="Q299" s="3">
        <v>5.2489999999999997</v>
      </c>
      <c r="R299" s="3">
        <v>0</v>
      </c>
      <c r="S299" s="3">
        <v>1.178E-3</v>
      </c>
      <c r="T299" s="3">
        <v>1</v>
      </c>
      <c r="U299" s="3">
        <v>10900</v>
      </c>
      <c r="V299" s="3">
        <v>-2</v>
      </c>
      <c r="W299" s="3">
        <v>2.6600000000000003E-7</v>
      </c>
      <c r="X299" s="3">
        <v>2</v>
      </c>
      <c r="Y299" s="3">
        <v>0</v>
      </c>
      <c r="Z299" s="3">
        <v>0</v>
      </c>
      <c r="AA299" s="3">
        <v>0</v>
      </c>
      <c r="AB299" s="3">
        <v>0</v>
      </c>
      <c r="AC299" s="3">
        <v>0</v>
      </c>
      <c r="AD299" s="3">
        <v>0</v>
      </c>
      <c r="AE299" s="3">
        <v>0</v>
      </c>
      <c r="AF299" s="3">
        <v>0</v>
      </c>
    </row>
    <row r="300" spans="8:32" x14ac:dyDescent="0.35">
      <c r="H300" s="3" t="str">
        <v>Ru</v>
      </c>
      <c r="I300" s="3" t="str">
        <v>Ruthenium</v>
      </c>
      <c r="J300" s="3" t="str">
        <v>Solid</v>
      </c>
      <c r="K300" s="3">
        <v>0</v>
      </c>
      <c r="L300" s="3">
        <v>28.534880000000001</v>
      </c>
      <c r="M300" s="3" t="str">
        <v/>
      </c>
      <c r="N300" s="3" t="str">
        <v/>
      </c>
      <c r="O300" s="3">
        <v>1600</v>
      </c>
      <c r="P300" s="3">
        <v>2523</v>
      </c>
      <c r="Q300" s="3">
        <v>3.7189999999999999</v>
      </c>
      <c r="R300" s="3">
        <v>0</v>
      </c>
      <c r="S300" s="3">
        <v>2.575E-3</v>
      </c>
      <c r="T300" s="3">
        <v>1</v>
      </c>
      <c r="U300" s="3">
        <v>0</v>
      </c>
      <c r="V300" s="3">
        <v>0</v>
      </c>
      <c r="W300" s="3">
        <v>0</v>
      </c>
      <c r="X300" s="3">
        <v>0</v>
      </c>
      <c r="Y300" s="3">
        <v>0</v>
      </c>
      <c r="Z300" s="3">
        <v>0</v>
      </c>
      <c r="AA300" s="3">
        <v>0</v>
      </c>
      <c r="AB300" s="3">
        <v>0</v>
      </c>
      <c r="AC300" s="3">
        <v>0</v>
      </c>
      <c r="AD300" s="3">
        <v>0</v>
      </c>
      <c r="AE300" s="3">
        <v>0</v>
      </c>
      <c r="AF300" s="3">
        <v>0</v>
      </c>
    </row>
    <row r="301" spans="8:32" x14ac:dyDescent="0.35">
      <c r="H301" s="3" t="str">
        <v>Ru</v>
      </c>
      <c r="I301" s="3" t="str">
        <v>Ruthenium</v>
      </c>
      <c r="J301" s="3" t="str">
        <v>Liquid</v>
      </c>
      <c r="K301" s="3" t="str">
        <v/>
      </c>
      <c r="L301" s="3" t="str">
        <v/>
      </c>
      <c r="M301" s="3">
        <v>24279.752</v>
      </c>
      <c r="N301" s="3">
        <v>2523</v>
      </c>
      <c r="O301" s="3">
        <v>2523</v>
      </c>
      <c r="P301" s="3">
        <v>3700</v>
      </c>
      <c r="Q301" s="3">
        <v>10</v>
      </c>
      <c r="R301" s="3">
        <v>0</v>
      </c>
      <c r="S301" s="3">
        <v>0</v>
      </c>
      <c r="T301" s="3">
        <v>0</v>
      </c>
      <c r="U301" s="3">
        <v>0</v>
      </c>
      <c r="V301" s="3">
        <v>0</v>
      </c>
      <c r="W301" s="3">
        <v>0</v>
      </c>
      <c r="X301" s="3">
        <v>0</v>
      </c>
      <c r="Y301" s="3">
        <v>0</v>
      </c>
      <c r="Z301" s="3">
        <v>0</v>
      </c>
      <c r="AA301" s="3">
        <v>0</v>
      </c>
      <c r="AB301" s="3">
        <v>0</v>
      </c>
      <c r="AC301" s="3">
        <v>0</v>
      </c>
      <c r="AD301" s="3">
        <v>0</v>
      </c>
      <c r="AE301" s="3">
        <v>0</v>
      </c>
      <c r="AF301" s="3">
        <v>0</v>
      </c>
    </row>
    <row r="302" spans="8:32" x14ac:dyDescent="0.35">
      <c r="H302" s="3" t="str">
        <v>Ru</v>
      </c>
      <c r="I302" s="3" t="str">
        <v>Ruthenium</v>
      </c>
      <c r="J302" s="3" t="str">
        <v>Gas</v>
      </c>
      <c r="K302" s="3">
        <v>642662.40000000002</v>
      </c>
      <c r="L302" s="3">
        <v>186.3972</v>
      </c>
      <c r="M302" s="3" t="str">
        <v/>
      </c>
      <c r="N302" s="3" t="str">
        <v/>
      </c>
      <c r="O302" s="3">
        <v>295</v>
      </c>
      <c r="P302" s="3">
        <v>300</v>
      </c>
      <c r="Q302" s="3">
        <v>5.1440000000000001</v>
      </c>
      <c r="R302" s="3">
        <v>0</v>
      </c>
      <c r="S302" s="3">
        <v>0</v>
      </c>
      <c r="T302" s="3">
        <v>0</v>
      </c>
      <c r="U302" s="3">
        <v>0</v>
      </c>
      <c r="V302" s="3">
        <v>0</v>
      </c>
      <c r="W302" s="3">
        <v>0</v>
      </c>
      <c r="X302" s="3">
        <v>0</v>
      </c>
      <c r="Y302" s="3">
        <v>0</v>
      </c>
      <c r="Z302" s="3">
        <v>0</v>
      </c>
      <c r="AA302" s="3">
        <v>0</v>
      </c>
      <c r="AB302" s="3">
        <v>0</v>
      </c>
      <c r="AC302" s="3">
        <v>0</v>
      </c>
      <c r="AD302" s="3">
        <v>0</v>
      </c>
      <c r="AE302" s="3">
        <v>0</v>
      </c>
      <c r="AF302" s="3">
        <v>0</v>
      </c>
    </row>
    <row r="303" spans="8:32" x14ac:dyDescent="0.35">
      <c r="H303" s="3" t="str">
        <v>Rh</v>
      </c>
      <c r="I303" s="3" t="str">
        <v>Rhodium</v>
      </c>
      <c r="J303" s="3" t="str">
        <v>Solid</v>
      </c>
      <c r="K303" s="3">
        <v>0</v>
      </c>
      <c r="L303" s="3">
        <v>31.505520000000001</v>
      </c>
      <c r="M303" s="3" t="str">
        <v/>
      </c>
      <c r="N303" s="3" t="str">
        <v/>
      </c>
      <c r="O303" s="3">
        <v>298</v>
      </c>
      <c r="P303" s="3">
        <v>2233</v>
      </c>
      <c r="Q303" s="3">
        <v>4.9740000000000002</v>
      </c>
      <c r="R303" s="3">
        <v>0</v>
      </c>
      <c r="S303" s="3">
        <v>3.2139999999999998E-3</v>
      </c>
      <c r="T303" s="3">
        <v>1</v>
      </c>
      <c r="U303" s="3">
        <v>8100</v>
      </c>
      <c r="V303" s="3">
        <v>-2</v>
      </c>
      <c r="W303" s="3">
        <v>-5.4199999999999996E-7</v>
      </c>
      <c r="X303" s="3">
        <v>2</v>
      </c>
      <c r="Y303" s="3">
        <v>0</v>
      </c>
      <c r="Z303" s="3">
        <v>0</v>
      </c>
      <c r="AA303" s="3">
        <v>0</v>
      </c>
      <c r="AB303" s="3">
        <v>0</v>
      </c>
      <c r="AC303" s="3">
        <v>0</v>
      </c>
      <c r="AD303" s="3">
        <v>0</v>
      </c>
      <c r="AE303" s="3">
        <v>0</v>
      </c>
      <c r="AF303" s="3">
        <v>0</v>
      </c>
    </row>
    <row r="304" spans="8:32" x14ac:dyDescent="0.35">
      <c r="H304" s="3" t="str">
        <v>Rh</v>
      </c>
      <c r="I304" s="3" t="str">
        <v>Rhodium</v>
      </c>
      <c r="J304" s="3" t="str">
        <v>Liquid</v>
      </c>
      <c r="K304" s="3" t="str">
        <v/>
      </c>
      <c r="L304" s="3" t="str">
        <v/>
      </c>
      <c r="M304" s="3">
        <v>21489.024000000001</v>
      </c>
      <c r="N304" s="3">
        <v>2233</v>
      </c>
      <c r="O304" s="3">
        <v>2233</v>
      </c>
      <c r="P304" s="3">
        <v>3970</v>
      </c>
      <c r="Q304" s="3">
        <v>10</v>
      </c>
      <c r="R304" s="3">
        <v>0</v>
      </c>
      <c r="S304" s="3">
        <v>0</v>
      </c>
      <c r="T304" s="3">
        <v>0</v>
      </c>
      <c r="U304" s="3">
        <v>0</v>
      </c>
      <c r="V304" s="3">
        <v>0</v>
      </c>
      <c r="W304" s="3">
        <v>0</v>
      </c>
      <c r="X304" s="3">
        <v>0</v>
      </c>
      <c r="Y304" s="3">
        <v>0</v>
      </c>
      <c r="Z304" s="3">
        <v>0</v>
      </c>
      <c r="AA304" s="3">
        <v>0</v>
      </c>
      <c r="AB304" s="3">
        <v>0</v>
      </c>
      <c r="AC304" s="3">
        <v>0</v>
      </c>
      <c r="AD304" s="3">
        <v>0</v>
      </c>
      <c r="AE304" s="3">
        <v>0</v>
      </c>
      <c r="AF304" s="3">
        <v>0</v>
      </c>
    </row>
    <row r="305" spans="8:32" x14ac:dyDescent="0.35">
      <c r="H305" s="3" t="str">
        <v>Rh</v>
      </c>
      <c r="I305" s="3" t="str">
        <v>Rhodium</v>
      </c>
      <c r="J305" s="3" t="str">
        <v>Gas</v>
      </c>
      <c r="K305" s="3">
        <v>556890.4</v>
      </c>
      <c r="L305" s="3">
        <v>185.69847200000001</v>
      </c>
      <c r="M305" s="3" t="str">
        <v/>
      </c>
      <c r="N305" s="3" t="str">
        <v/>
      </c>
      <c r="O305" s="3">
        <v>295</v>
      </c>
      <c r="P305" s="3">
        <v>300</v>
      </c>
      <c r="Q305" s="3">
        <v>5.0220000000000002</v>
      </c>
      <c r="R305" s="3">
        <v>0</v>
      </c>
      <c r="S305" s="3">
        <v>0</v>
      </c>
      <c r="T305" s="3">
        <v>0</v>
      </c>
      <c r="U305" s="3">
        <v>0</v>
      </c>
      <c r="V305" s="3">
        <v>0</v>
      </c>
      <c r="W305" s="3">
        <v>0</v>
      </c>
      <c r="X305" s="3">
        <v>0</v>
      </c>
      <c r="Y305" s="3">
        <v>0</v>
      </c>
      <c r="Z305" s="3">
        <v>0</v>
      </c>
      <c r="AA305" s="3">
        <v>0</v>
      </c>
      <c r="AB305" s="3">
        <v>0</v>
      </c>
      <c r="AC305" s="3">
        <v>0</v>
      </c>
      <c r="AD305" s="3">
        <v>0</v>
      </c>
      <c r="AE305" s="3">
        <v>0</v>
      </c>
      <c r="AF305" s="3">
        <v>0</v>
      </c>
    </row>
    <row r="306" spans="8:32" x14ac:dyDescent="0.35">
      <c r="H306" s="3" t="str">
        <v>Pd</v>
      </c>
      <c r="I306" s="3" t="str">
        <v>Palladium</v>
      </c>
      <c r="J306" s="3" t="str">
        <v>Solid</v>
      </c>
      <c r="K306" s="3">
        <v>0</v>
      </c>
      <c r="L306" s="3">
        <v>37.823360000000001</v>
      </c>
      <c r="M306" s="3" t="str">
        <v/>
      </c>
      <c r="N306" s="3" t="str">
        <v/>
      </c>
      <c r="O306" s="3">
        <v>298</v>
      </c>
      <c r="P306" s="3">
        <v>400</v>
      </c>
      <c r="Q306" s="3">
        <v>5.6829999999999998</v>
      </c>
      <c r="R306" s="3">
        <v>0</v>
      </c>
      <c r="S306" s="3">
        <v>1.7669999999999999E-3</v>
      </c>
      <c r="T306" s="3">
        <v>1</v>
      </c>
      <c r="U306" s="3">
        <v>0</v>
      </c>
      <c r="V306" s="3">
        <v>0</v>
      </c>
      <c r="W306" s="3">
        <v>0</v>
      </c>
      <c r="X306" s="3">
        <v>0</v>
      </c>
      <c r="Y306" s="3">
        <v>0</v>
      </c>
      <c r="Z306" s="3">
        <v>0</v>
      </c>
      <c r="AA306" s="3">
        <v>0</v>
      </c>
      <c r="AB306" s="3">
        <v>0</v>
      </c>
      <c r="AC306" s="3">
        <v>0</v>
      </c>
      <c r="AD306" s="3">
        <v>0</v>
      </c>
      <c r="AE306" s="3">
        <v>0</v>
      </c>
      <c r="AF306" s="3">
        <v>0</v>
      </c>
    </row>
    <row r="307" spans="8:32" x14ac:dyDescent="0.35">
      <c r="H307" s="3" t="str">
        <v>Pd</v>
      </c>
      <c r="I307" s="3" t="str">
        <v>Palladium</v>
      </c>
      <c r="J307" s="3" t="str">
        <v>Solid</v>
      </c>
      <c r="K307" s="3">
        <v>0</v>
      </c>
      <c r="L307" s="3">
        <v>37.823360000000001</v>
      </c>
      <c r="M307" s="3" t="str">
        <v/>
      </c>
      <c r="N307" s="3" t="str">
        <v/>
      </c>
      <c r="O307" s="3">
        <v>400</v>
      </c>
      <c r="P307" s="3">
        <v>1400</v>
      </c>
      <c r="Q307" s="3">
        <v>5.8730000000000002</v>
      </c>
      <c r="R307" s="3">
        <v>0</v>
      </c>
      <c r="S307" s="3">
        <v>1.274E-3</v>
      </c>
      <c r="T307" s="3">
        <v>1</v>
      </c>
      <c r="U307" s="3">
        <v>0</v>
      </c>
      <c r="V307" s="3">
        <v>0</v>
      </c>
      <c r="W307" s="3">
        <v>0</v>
      </c>
      <c r="X307" s="3">
        <v>0</v>
      </c>
      <c r="Y307" s="3">
        <v>0</v>
      </c>
      <c r="Z307" s="3">
        <v>0</v>
      </c>
      <c r="AA307" s="3">
        <v>0</v>
      </c>
      <c r="AB307" s="3">
        <v>0</v>
      </c>
      <c r="AC307" s="3">
        <v>0</v>
      </c>
      <c r="AD307" s="3">
        <v>0</v>
      </c>
      <c r="AE307" s="3">
        <v>0</v>
      </c>
      <c r="AF307" s="3">
        <v>0</v>
      </c>
    </row>
    <row r="308" spans="8:32" x14ac:dyDescent="0.35">
      <c r="H308" s="3" t="str">
        <v>Pd</v>
      </c>
      <c r="I308" s="3" t="str">
        <v>Palladium</v>
      </c>
      <c r="J308" s="3" t="str">
        <v>Solid</v>
      </c>
      <c r="K308" s="3">
        <v>0</v>
      </c>
      <c r="L308" s="3">
        <v>37.823360000000001</v>
      </c>
      <c r="M308" s="3" t="str">
        <v/>
      </c>
      <c r="N308" s="3" t="str">
        <v/>
      </c>
      <c r="O308" s="3">
        <v>1400</v>
      </c>
      <c r="P308" s="3">
        <v>1825</v>
      </c>
      <c r="Q308" s="3">
        <v>0.84099999999999997</v>
      </c>
      <c r="R308" s="3">
        <v>0</v>
      </c>
      <c r="S308" s="3">
        <v>3.6319999999999998E-3</v>
      </c>
      <c r="T308" s="3">
        <v>1</v>
      </c>
      <c r="U308" s="3">
        <v>3404200</v>
      </c>
      <c r="V308" s="3">
        <v>-2</v>
      </c>
      <c r="W308" s="3">
        <v>0</v>
      </c>
      <c r="X308" s="3">
        <v>0</v>
      </c>
      <c r="Y308" s="3">
        <v>0</v>
      </c>
      <c r="Z308" s="3">
        <v>0</v>
      </c>
      <c r="AA308" s="3">
        <v>0</v>
      </c>
      <c r="AB308" s="3">
        <v>0</v>
      </c>
      <c r="AC308" s="3">
        <v>0</v>
      </c>
      <c r="AD308" s="3">
        <v>0</v>
      </c>
      <c r="AE308" s="3">
        <v>0</v>
      </c>
      <c r="AF308" s="3">
        <v>0</v>
      </c>
    </row>
    <row r="309" spans="8:32" x14ac:dyDescent="0.35">
      <c r="H309" s="3" t="str">
        <v>Pd</v>
      </c>
      <c r="I309" s="3" t="str">
        <v>Palladium</v>
      </c>
      <c r="J309" s="3" t="str">
        <v>Liquid</v>
      </c>
      <c r="K309" s="3" t="str">
        <v/>
      </c>
      <c r="L309" s="3" t="str">
        <v/>
      </c>
      <c r="M309" s="3">
        <v>17560.248</v>
      </c>
      <c r="N309" s="3">
        <v>1825</v>
      </c>
      <c r="O309" s="3">
        <v>1825</v>
      </c>
      <c r="P309" s="3">
        <v>3200</v>
      </c>
      <c r="Q309" s="3">
        <v>8.3000000000000007</v>
      </c>
      <c r="R309" s="3">
        <v>0</v>
      </c>
      <c r="S309" s="3">
        <v>0</v>
      </c>
      <c r="T309" s="3">
        <v>0</v>
      </c>
      <c r="U309" s="3">
        <v>0</v>
      </c>
      <c r="V309" s="3">
        <v>0</v>
      </c>
      <c r="W309" s="3">
        <v>0</v>
      </c>
      <c r="X309" s="3">
        <v>0</v>
      </c>
      <c r="Y309" s="3">
        <v>0</v>
      </c>
      <c r="Z309" s="3">
        <v>0</v>
      </c>
      <c r="AA309" s="3">
        <v>0</v>
      </c>
      <c r="AB309" s="3">
        <v>0</v>
      </c>
      <c r="AC309" s="3">
        <v>0</v>
      </c>
      <c r="AD309" s="3">
        <v>0</v>
      </c>
      <c r="AE309" s="3">
        <v>0</v>
      </c>
      <c r="AF309" s="3">
        <v>0</v>
      </c>
    </row>
    <row r="310" spans="8:32" x14ac:dyDescent="0.35">
      <c r="H310" s="3" t="str">
        <v>Pd</v>
      </c>
      <c r="I310" s="3" t="str">
        <v>Palladium</v>
      </c>
      <c r="J310" s="3" t="str">
        <v>Gas</v>
      </c>
      <c r="K310" s="3">
        <v>378233.60000000003</v>
      </c>
      <c r="L310" s="3">
        <v>166.94159999999999</v>
      </c>
      <c r="M310" s="3" t="str">
        <v/>
      </c>
      <c r="N310" s="3" t="str">
        <v/>
      </c>
      <c r="O310" s="3">
        <v>295</v>
      </c>
      <c r="P310" s="3">
        <v>300</v>
      </c>
      <c r="Q310" s="3">
        <v>4.968</v>
      </c>
      <c r="R310" s="3">
        <v>0</v>
      </c>
      <c r="S310" s="3">
        <v>0</v>
      </c>
      <c r="T310" s="3">
        <v>0</v>
      </c>
      <c r="U310" s="3">
        <v>0</v>
      </c>
      <c r="V310" s="3">
        <v>0</v>
      </c>
      <c r="W310" s="3">
        <v>0</v>
      </c>
      <c r="X310" s="3">
        <v>0</v>
      </c>
      <c r="Y310" s="3">
        <v>0</v>
      </c>
      <c r="Z310" s="3">
        <v>0</v>
      </c>
      <c r="AA310" s="3">
        <v>0</v>
      </c>
      <c r="AB310" s="3">
        <v>0</v>
      </c>
      <c r="AC310" s="3">
        <v>0</v>
      </c>
      <c r="AD310" s="3">
        <v>0</v>
      </c>
      <c r="AE310" s="3">
        <v>0</v>
      </c>
      <c r="AF310" s="3">
        <v>0</v>
      </c>
    </row>
    <row r="311" spans="8:32" x14ac:dyDescent="0.35">
      <c r="H311" s="3" t="str">
        <v>Ag</v>
      </c>
      <c r="I311" s="3" t="str">
        <v>Silver</v>
      </c>
      <c r="J311" s="3" t="str">
        <v>Solid</v>
      </c>
      <c r="K311" s="3">
        <v>0</v>
      </c>
      <c r="L311" s="3">
        <v>42.6768</v>
      </c>
      <c r="M311" s="3" t="str">
        <v/>
      </c>
      <c r="N311" s="3" t="str">
        <v/>
      </c>
      <c r="O311" s="3">
        <v>298</v>
      </c>
      <c r="P311" s="3">
        <v>600</v>
      </c>
      <c r="Q311" s="3">
        <v>5.6929999999999996</v>
      </c>
      <c r="R311" s="3">
        <v>0</v>
      </c>
      <c r="S311" s="3">
        <v>1.2229999999999999E-3</v>
      </c>
      <c r="T311" s="3">
        <v>1</v>
      </c>
      <c r="U311" s="3">
        <v>0</v>
      </c>
      <c r="V311" s="3">
        <v>0</v>
      </c>
      <c r="W311" s="3">
        <v>0</v>
      </c>
      <c r="X311" s="3">
        <v>0</v>
      </c>
      <c r="Y311" s="3">
        <v>0</v>
      </c>
      <c r="Z311" s="3">
        <v>0</v>
      </c>
      <c r="AA311" s="3">
        <v>0</v>
      </c>
      <c r="AB311" s="3">
        <v>0</v>
      </c>
      <c r="AC311" s="3">
        <v>0</v>
      </c>
      <c r="AD311" s="3">
        <v>0</v>
      </c>
      <c r="AE311" s="3">
        <v>0</v>
      </c>
      <c r="AF311" s="3">
        <v>0</v>
      </c>
    </row>
    <row r="312" spans="8:32" x14ac:dyDescent="0.35">
      <c r="H312" s="3" t="str">
        <v>Ag</v>
      </c>
      <c r="I312" s="3" t="str">
        <v>Silver</v>
      </c>
      <c r="J312" s="3" t="str">
        <v>Solid</v>
      </c>
      <c r="K312" s="3">
        <v>0</v>
      </c>
      <c r="L312" s="3">
        <v>42.6768</v>
      </c>
      <c r="M312" s="3" t="str">
        <v/>
      </c>
      <c r="N312" s="3" t="str">
        <v/>
      </c>
      <c r="O312" s="3">
        <v>600</v>
      </c>
      <c r="P312" s="3">
        <v>1234</v>
      </c>
      <c r="Q312" s="3">
        <v>4.7160000000000002</v>
      </c>
      <c r="R312" s="3">
        <v>0</v>
      </c>
      <c r="S312" s="3">
        <v>2.294E-3</v>
      </c>
      <c r="T312" s="3">
        <v>1</v>
      </c>
      <c r="U312" s="3">
        <v>127400</v>
      </c>
      <c r="V312" s="3">
        <v>-2</v>
      </c>
      <c r="W312" s="3">
        <v>0</v>
      </c>
      <c r="X312" s="3">
        <v>0</v>
      </c>
      <c r="Y312" s="3">
        <v>0</v>
      </c>
      <c r="Z312" s="3">
        <v>0</v>
      </c>
      <c r="AA312" s="3">
        <v>0</v>
      </c>
      <c r="AB312" s="3">
        <v>0</v>
      </c>
      <c r="AC312" s="3">
        <v>0</v>
      </c>
      <c r="AD312" s="3">
        <v>0</v>
      </c>
      <c r="AE312" s="3">
        <v>0</v>
      </c>
      <c r="AF312" s="3">
        <v>0</v>
      </c>
    </row>
    <row r="313" spans="8:32" x14ac:dyDescent="0.35">
      <c r="H313" s="3" t="str">
        <v>Ag</v>
      </c>
      <c r="I313" s="3" t="str">
        <v>Silver</v>
      </c>
      <c r="J313" s="3" t="str">
        <v>Liquid</v>
      </c>
      <c r="K313" s="3" t="str">
        <v/>
      </c>
      <c r="L313" s="3" t="str">
        <v/>
      </c>
      <c r="M313" s="3">
        <v>11296.800000000001</v>
      </c>
      <c r="N313" s="3">
        <v>1233.95</v>
      </c>
      <c r="O313" s="3">
        <v>1234</v>
      </c>
      <c r="P313" s="3">
        <v>2436</v>
      </c>
      <c r="Q313" s="3">
        <v>8</v>
      </c>
      <c r="R313" s="3">
        <v>0</v>
      </c>
      <c r="S313" s="3">
        <v>0</v>
      </c>
      <c r="T313" s="3">
        <v>0</v>
      </c>
      <c r="U313" s="3">
        <v>0</v>
      </c>
      <c r="V313" s="3">
        <v>0</v>
      </c>
      <c r="W313" s="3">
        <v>0</v>
      </c>
      <c r="X313" s="3">
        <v>0</v>
      </c>
      <c r="Y313" s="3">
        <v>0</v>
      </c>
      <c r="Z313" s="3">
        <v>0</v>
      </c>
      <c r="AA313" s="3">
        <v>0</v>
      </c>
      <c r="AB313" s="3">
        <v>0</v>
      </c>
      <c r="AC313" s="3">
        <v>0</v>
      </c>
      <c r="AD313" s="3">
        <v>0</v>
      </c>
      <c r="AE313" s="3">
        <v>0</v>
      </c>
      <c r="AF313" s="3">
        <v>0</v>
      </c>
    </row>
    <row r="314" spans="8:32" x14ac:dyDescent="0.35">
      <c r="H314" s="3" t="str">
        <v>Ag</v>
      </c>
      <c r="I314" s="3" t="str">
        <v>Silver</v>
      </c>
      <c r="J314" s="3" t="str">
        <v>Gas</v>
      </c>
      <c r="K314" s="3" t="str">
        <v/>
      </c>
      <c r="L314" s="3" t="str">
        <v/>
      </c>
      <c r="M314" s="3">
        <v>250621.6</v>
      </c>
      <c r="N314" s="3">
        <v>2436</v>
      </c>
      <c r="O314" s="3">
        <v>2436</v>
      </c>
      <c r="P314" s="3">
        <v>2800</v>
      </c>
      <c r="Q314" s="3">
        <v>4.968</v>
      </c>
      <c r="R314" s="3">
        <v>0</v>
      </c>
      <c r="S314" s="3">
        <v>0</v>
      </c>
      <c r="T314" s="3">
        <v>0</v>
      </c>
      <c r="U314" s="3">
        <v>0</v>
      </c>
      <c r="V314" s="3">
        <v>0</v>
      </c>
      <c r="W314" s="3">
        <v>0</v>
      </c>
      <c r="X314" s="3">
        <v>0</v>
      </c>
      <c r="Y314" s="3">
        <v>0</v>
      </c>
      <c r="Z314" s="3">
        <v>0</v>
      </c>
      <c r="AA314" s="3">
        <v>0</v>
      </c>
      <c r="AB314" s="3">
        <v>0</v>
      </c>
      <c r="AC314" s="3">
        <v>0</v>
      </c>
      <c r="AD314" s="3">
        <v>0</v>
      </c>
      <c r="AE314" s="3">
        <v>0</v>
      </c>
      <c r="AF314" s="3">
        <v>0</v>
      </c>
    </row>
    <row r="315" spans="8:32" x14ac:dyDescent="0.35">
      <c r="H315" s="3" t="str">
        <v>Cd</v>
      </c>
      <c r="I315" s="3" t="str">
        <v>Cadmium</v>
      </c>
      <c r="J315" s="3" t="str">
        <v>HCP_A3</v>
      </c>
      <c r="K315" s="3">
        <v>0</v>
      </c>
      <c r="L315" s="3">
        <v>51.8</v>
      </c>
      <c r="M315" s="3" t="str">
        <v/>
      </c>
      <c r="N315" s="3" t="str">
        <v/>
      </c>
      <c r="O315" s="3">
        <v>298.14999999999998</v>
      </c>
      <c r="P315" s="3">
        <v>594.21900000000005</v>
      </c>
      <c r="Q315" s="3">
        <v>22.044240800000001</v>
      </c>
      <c r="R315" s="3">
        <v>0</v>
      </c>
      <c r="S315" s="3">
        <v>1.2547816E-2</v>
      </c>
      <c r="T315" s="3">
        <v>1</v>
      </c>
      <c r="U315" s="3">
        <v>13932.72</v>
      </c>
      <c r="V315" s="3">
        <v>-2</v>
      </c>
      <c r="W315" s="3">
        <v>0</v>
      </c>
      <c r="X315" s="3">
        <v>0</v>
      </c>
      <c r="Y315" s="3">
        <v>0</v>
      </c>
      <c r="Z315" s="3">
        <v>0</v>
      </c>
      <c r="AA315" s="3">
        <v>0</v>
      </c>
      <c r="AB315" s="3">
        <v>0</v>
      </c>
      <c r="AC315" s="3">
        <v>0</v>
      </c>
      <c r="AD315" s="3">
        <v>0</v>
      </c>
      <c r="AE315" s="3">
        <v>0</v>
      </c>
      <c r="AF315" s="3">
        <v>0</v>
      </c>
    </row>
    <row r="316" spans="8:32" x14ac:dyDescent="0.35">
      <c r="H316" s="3" t="str">
        <v>Cd</v>
      </c>
      <c r="I316" s="3" t="str">
        <v>Cadmium</v>
      </c>
      <c r="J316" s="3" t="str">
        <v>HCP_A3</v>
      </c>
      <c r="K316" s="3">
        <v>0</v>
      </c>
      <c r="L316" s="3">
        <v>51.8</v>
      </c>
      <c r="M316" s="3" t="str">
        <v/>
      </c>
      <c r="N316" s="3" t="str">
        <v/>
      </c>
      <c r="O316" s="3">
        <v>594.21900000000005</v>
      </c>
      <c r="P316" s="3">
        <v>1500</v>
      </c>
      <c r="Q316" s="3">
        <v>45.161154332099997</v>
      </c>
      <c r="R316" s="3">
        <v>0</v>
      </c>
      <c r="S316" s="3">
        <v>-1.7664022991952001E-2</v>
      </c>
      <c r="T316" s="3">
        <v>1</v>
      </c>
      <c r="U316" s="3">
        <v>5.3976216443970001E-6</v>
      </c>
      <c r="V316" s="3">
        <v>2</v>
      </c>
      <c r="W316" s="3">
        <v>-2482579.2241600002</v>
      </c>
      <c r="X316" s="3">
        <v>-2</v>
      </c>
      <c r="Y316" s="3">
        <v>0</v>
      </c>
      <c r="Z316" s="3">
        <v>0</v>
      </c>
      <c r="AA316" s="3">
        <v>0</v>
      </c>
      <c r="AB316" s="3">
        <v>0</v>
      </c>
      <c r="AC316" s="3">
        <v>0</v>
      </c>
      <c r="AD316" s="3">
        <v>0</v>
      </c>
      <c r="AE316" s="3">
        <v>0</v>
      </c>
      <c r="AF316" s="3">
        <v>0</v>
      </c>
    </row>
    <row r="317" spans="8:32" x14ac:dyDescent="0.35">
      <c r="H317" s="3" t="str">
        <v>Cd</v>
      </c>
      <c r="I317" s="3" t="str">
        <v>Cadmium</v>
      </c>
      <c r="J317" s="3" t="str">
        <v>HCP_A3</v>
      </c>
      <c r="K317" s="3">
        <v>0</v>
      </c>
      <c r="L317" s="3">
        <v>51.8</v>
      </c>
      <c r="M317" s="3" t="str">
        <v/>
      </c>
      <c r="N317" s="3" t="str">
        <v/>
      </c>
      <c r="O317" s="3">
        <v>1500</v>
      </c>
      <c r="P317" s="3">
        <v>1600</v>
      </c>
      <c r="Q317" s="3">
        <v>29.706399999999999</v>
      </c>
      <c r="R317" s="3">
        <v>0</v>
      </c>
      <c r="S317" s="3">
        <v>0</v>
      </c>
      <c r="T317" s="3">
        <v>0</v>
      </c>
      <c r="U317" s="3">
        <v>0</v>
      </c>
      <c r="V317" s="3">
        <v>0</v>
      </c>
      <c r="W317" s="3">
        <v>0</v>
      </c>
      <c r="X317" s="3">
        <v>0</v>
      </c>
      <c r="Y317" s="3">
        <v>0</v>
      </c>
      <c r="Z317" s="3">
        <v>0</v>
      </c>
      <c r="AA317" s="3">
        <v>0</v>
      </c>
      <c r="AB317" s="3">
        <v>0</v>
      </c>
      <c r="AC317" s="3">
        <v>0</v>
      </c>
      <c r="AD317" s="3">
        <v>0</v>
      </c>
      <c r="AE317" s="3">
        <v>0</v>
      </c>
      <c r="AF317" s="3">
        <v>0</v>
      </c>
    </row>
    <row r="318" spans="8:32" x14ac:dyDescent="0.35">
      <c r="H318" s="3" t="str">
        <v>Cd</v>
      </c>
      <c r="I318" s="3" t="str">
        <v>Cadmium</v>
      </c>
      <c r="J318" s="3" t="str">
        <v>Liquid</v>
      </c>
      <c r="K318" s="3">
        <v>6128.4442897500003</v>
      </c>
      <c r="L318" s="3">
        <v>62.096916364000002</v>
      </c>
      <c r="M318" s="3" t="str">
        <v/>
      </c>
      <c r="N318" s="3" t="str">
        <v/>
      </c>
      <c r="O318" s="3">
        <v>298.14999999999998</v>
      </c>
      <c r="P318" s="3">
        <v>400</v>
      </c>
      <c r="Q318" s="3">
        <v>22.044240800000001</v>
      </c>
      <c r="R318" s="3">
        <v>0</v>
      </c>
      <c r="S318" s="3">
        <v>1.2547816E-2</v>
      </c>
      <c r="T318" s="3">
        <v>1</v>
      </c>
      <c r="U318" s="3">
        <v>13932.72</v>
      </c>
      <c r="V318" s="3">
        <v>-2</v>
      </c>
      <c r="W318" s="3">
        <v>0</v>
      </c>
      <c r="X318" s="3">
        <v>0</v>
      </c>
      <c r="Y318" s="3">
        <v>0</v>
      </c>
      <c r="Z318" s="3">
        <v>0</v>
      </c>
      <c r="AA318" s="3">
        <v>0</v>
      </c>
      <c r="AB318" s="3">
        <v>0</v>
      </c>
      <c r="AC318" s="3">
        <v>0</v>
      </c>
      <c r="AD318" s="3">
        <v>0</v>
      </c>
      <c r="AE318" s="3">
        <v>0</v>
      </c>
      <c r="AF318" s="3">
        <v>0</v>
      </c>
    </row>
    <row r="319" spans="8:32" x14ac:dyDescent="0.35">
      <c r="H319" s="3" t="str">
        <v>Cd</v>
      </c>
      <c r="I319" s="3" t="str">
        <v>Cadmium</v>
      </c>
      <c r="J319" s="3" t="str">
        <v>Liquid</v>
      </c>
      <c r="K319" s="3">
        <v>6128.4442897500003</v>
      </c>
      <c r="L319" s="3">
        <v>62.096916364000002</v>
      </c>
      <c r="M319" s="3" t="str">
        <v/>
      </c>
      <c r="N319" s="3" t="str">
        <v/>
      </c>
      <c r="O319" s="3">
        <v>400</v>
      </c>
      <c r="P319" s="3">
        <v>594.21900000000005</v>
      </c>
      <c r="Q319" s="3">
        <v>-53.131389830800003</v>
      </c>
      <c r="R319" s="3">
        <v>0</v>
      </c>
      <c r="S319" s="3">
        <v>0.230319833424</v>
      </c>
      <c r="T319" s="3">
        <v>1</v>
      </c>
      <c r="U319" s="3">
        <v>-1.7339868694734E-4</v>
      </c>
      <c r="V319" s="3">
        <v>2</v>
      </c>
      <c r="W319" s="3">
        <v>2543630.8917</v>
      </c>
      <c r="X319" s="3">
        <v>-2</v>
      </c>
      <c r="Y319" s="3">
        <v>0</v>
      </c>
      <c r="Z319" s="3">
        <v>0</v>
      </c>
      <c r="AA319" s="3">
        <v>0</v>
      </c>
      <c r="AB319" s="3">
        <v>0</v>
      </c>
      <c r="AC319" s="3">
        <v>0</v>
      </c>
      <c r="AD319" s="3">
        <v>0</v>
      </c>
      <c r="AE319" s="3">
        <v>0</v>
      </c>
      <c r="AF319" s="3">
        <v>0</v>
      </c>
    </row>
    <row r="320" spans="8:32" x14ac:dyDescent="0.35">
      <c r="H320" s="3" t="str">
        <v>Cd</v>
      </c>
      <c r="I320" s="3" t="str">
        <v>Cadmium</v>
      </c>
      <c r="J320" s="3" t="str">
        <v>Liquid</v>
      </c>
      <c r="K320" s="3">
        <v>6128.4442897500003</v>
      </c>
      <c r="L320" s="3">
        <v>62.096916364000002</v>
      </c>
      <c r="M320" s="3" t="str">
        <v/>
      </c>
      <c r="N320" s="3" t="str">
        <v/>
      </c>
      <c r="O320" s="3">
        <v>594.21900000000005</v>
      </c>
      <c r="P320" s="3">
        <v>1600</v>
      </c>
      <c r="Q320" s="3">
        <v>29.706399999999999</v>
      </c>
      <c r="R320" s="3">
        <v>0</v>
      </c>
      <c r="S320" s="3">
        <v>0</v>
      </c>
      <c r="T320" s="3">
        <v>0</v>
      </c>
      <c r="U320" s="3">
        <v>0</v>
      </c>
      <c r="V320" s="3">
        <v>0</v>
      </c>
      <c r="W320" s="3">
        <v>0</v>
      </c>
      <c r="X320" s="3">
        <v>0</v>
      </c>
      <c r="Y320" s="3">
        <v>0</v>
      </c>
      <c r="Z320" s="3">
        <v>0</v>
      </c>
      <c r="AA320" s="3">
        <v>0</v>
      </c>
      <c r="AB320" s="3">
        <v>0</v>
      </c>
      <c r="AC320" s="3">
        <v>0</v>
      </c>
      <c r="AD320" s="3">
        <v>0</v>
      </c>
      <c r="AE320" s="3">
        <v>0</v>
      </c>
      <c r="AF320" s="3">
        <v>0</v>
      </c>
    </row>
    <row r="321" spans="8:32" x14ac:dyDescent="0.35">
      <c r="H321" s="3" t="str">
        <v>Cd</v>
      </c>
      <c r="I321" s="3" t="str">
        <v>Cadmium</v>
      </c>
      <c r="J321" s="3" t="str">
        <v>Gas</v>
      </c>
      <c r="K321" s="3">
        <v>111796.48</v>
      </c>
      <c r="L321" s="3">
        <v>167.63195999999999</v>
      </c>
      <c r="M321" s="3" t="str">
        <v/>
      </c>
      <c r="N321" s="3" t="str">
        <v/>
      </c>
      <c r="O321" s="3">
        <v>298.14999999999998</v>
      </c>
      <c r="P321" s="3">
        <v>1500</v>
      </c>
      <c r="Q321" s="3">
        <v>20.786111999999999</v>
      </c>
      <c r="R321" s="3">
        <v>0</v>
      </c>
      <c r="S321" s="3">
        <v>0</v>
      </c>
      <c r="T321" s="3">
        <v>0</v>
      </c>
      <c r="U321" s="3">
        <v>0</v>
      </c>
      <c r="V321" s="3">
        <v>0</v>
      </c>
      <c r="W321" s="3">
        <v>0</v>
      </c>
      <c r="X321" s="3">
        <v>0</v>
      </c>
      <c r="Y321" s="3">
        <v>0</v>
      </c>
      <c r="Z321" s="3">
        <v>0</v>
      </c>
      <c r="AA321" s="3">
        <v>0</v>
      </c>
      <c r="AB321" s="3">
        <v>0</v>
      </c>
      <c r="AC321" s="3">
        <v>0</v>
      </c>
      <c r="AD321" s="3">
        <v>0</v>
      </c>
      <c r="AE321" s="3">
        <v>0</v>
      </c>
      <c r="AF321" s="3">
        <v>0</v>
      </c>
    </row>
    <row r="322" spans="8:32" x14ac:dyDescent="0.35">
      <c r="H322" s="3" t="str">
        <v>In</v>
      </c>
      <c r="I322" s="3" t="str">
        <v>Indium</v>
      </c>
      <c r="J322" s="3" t="str">
        <v>Solid</v>
      </c>
      <c r="K322" s="3">
        <v>0</v>
      </c>
      <c r="L322" s="3">
        <v>57.822880000000005</v>
      </c>
      <c r="M322" s="3" t="str">
        <v/>
      </c>
      <c r="N322" s="3" t="str">
        <v/>
      </c>
      <c r="O322" s="3">
        <v>298</v>
      </c>
      <c r="P322" s="3">
        <v>430</v>
      </c>
      <c r="Q322" s="3">
        <v>-2.1520000000000001</v>
      </c>
      <c r="R322" s="3">
        <v>0</v>
      </c>
      <c r="S322" s="3">
        <v>1.8482999999999999E-2</v>
      </c>
      <c r="T322" s="3">
        <v>1</v>
      </c>
      <c r="U322" s="3">
        <v>269300</v>
      </c>
      <c r="V322" s="3">
        <v>-2</v>
      </c>
      <c r="W322" s="3">
        <v>0</v>
      </c>
      <c r="X322" s="3">
        <v>0</v>
      </c>
      <c r="Y322" s="3">
        <v>0</v>
      </c>
      <c r="Z322" s="3">
        <v>0</v>
      </c>
      <c r="AA322" s="3">
        <v>0</v>
      </c>
      <c r="AB322" s="3">
        <v>0</v>
      </c>
      <c r="AC322" s="3">
        <v>0</v>
      </c>
      <c r="AD322" s="3">
        <v>0</v>
      </c>
      <c r="AE322" s="3">
        <v>0</v>
      </c>
      <c r="AF322" s="3">
        <v>0</v>
      </c>
    </row>
    <row r="323" spans="8:32" x14ac:dyDescent="0.35">
      <c r="H323" s="3" t="str">
        <v>In</v>
      </c>
      <c r="I323" s="3" t="str">
        <v>Indium</v>
      </c>
      <c r="J323" s="3" t="str">
        <v>Liquid</v>
      </c>
      <c r="K323" s="3" t="str">
        <v/>
      </c>
      <c r="L323" s="3" t="str">
        <v/>
      </c>
      <c r="M323" s="3">
        <v>3263.52</v>
      </c>
      <c r="N323" s="3">
        <v>429.76</v>
      </c>
      <c r="O323" s="3">
        <v>430</v>
      </c>
      <c r="P323" s="3">
        <v>900</v>
      </c>
      <c r="Q323" s="3">
        <v>7.1360000000000001</v>
      </c>
      <c r="R323" s="3">
        <v>0</v>
      </c>
      <c r="S323" s="3">
        <v>-2.0799999999999999E-4</v>
      </c>
      <c r="T323" s="3">
        <v>1</v>
      </c>
      <c r="U323" s="3">
        <v>0</v>
      </c>
      <c r="V323" s="3">
        <v>0</v>
      </c>
      <c r="W323" s="3">
        <v>0</v>
      </c>
      <c r="X323" s="3">
        <v>0</v>
      </c>
      <c r="Y323" s="3">
        <v>0</v>
      </c>
      <c r="Z323" s="3">
        <v>0</v>
      </c>
      <c r="AA323" s="3">
        <v>0</v>
      </c>
      <c r="AB323" s="3">
        <v>0</v>
      </c>
      <c r="AC323" s="3">
        <v>0</v>
      </c>
      <c r="AD323" s="3">
        <v>0</v>
      </c>
      <c r="AE323" s="3">
        <v>0</v>
      </c>
      <c r="AF323" s="3">
        <v>0</v>
      </c>
    </row>
    <row r="324" spans="8:32" x14ac:dyDescent="0.35">
      <c r="H324" s="3" t="str">
        <v>In</v>
      </c>
      <c r="I324" s="3" t="str">
        <v>Indium</v>
      </c>
      <c r="J324" s="3" t="str">
        <v>Liquid</v>
      </c>
      <c r="K324" s="3" t="str">
        <v/>
      </c>
      <c r="L324" s="3" t="str">
        <v/>
      </c>
      <c r="M324" s="3">
        <v>3263.52</v>
      </c>
      <c r="N324" s="3">
        <v>429.76</v>
      </c>
      <c r="O324" s="3">
        <v>900</v>
      </c>
      <c r="P324" s="3">
        <v>2346</v>
      </c>
      <c r="Q324" s="3">
        <v>6.95</v>
      </c>
      <c r="R324" s="3">
        <v>0</v>
      </c>
      <c r="S324" s="3">
        <v>0</v>
      </c>
      <c r="T324" s="3">
        <v>0</v>
      </c>
      <c r="U324" s="3">
        <v>0</v>
      </c>
      <c r="V324" s="3">
        <v>0</v>
      </c>
      <c r="W324" s="3">
        <v>0</v>
      </c>
      <c r="X324" s="3">
        <v>0</v>
      </c>
      <c r="Y324" s="3">
        <v>0</v>
      </c>
      <c r="Z324" s="3">
        <v>0</v>
      </c>
      <c r="AA324" s="3">
        <v>0</v>
      </c>
      <c r="AB324" s="3">
        <v>0</v>
      </c>
      <c r="AC324" s="3">
        <v>0</v>
      </c>
      <c r="AD324" s="3">
        <v>0</v>
      </c>
      <c r="AE324" s="3">
        <v>0</v>
      </c>
      <c r="AF324" s="3">
        <v>0</v>
      </c>
    </row>
    <row r="325" spans="8:32" x14ac:dyDescent="0.35">
      <c r="H325" s="3" t="str">
        <v>In</v>
      </c>
      <c r="I325" s="3" t="str">
        <v>Indium</v>
      </c>
      <c r="J325" s="3" t="str">
        <v>Gas</v>
      </c>
      <c r="K325" s="3" t="str">
        <v/>
      </c>
      <c r="L325" s="3" t="str">
        <v/>
      </c>
      <c r="M325" s="3">
        <v>231454.696</v>
      </c>
      <c r="N325" s="3">
        <v>2346</v>
      </c>
      <c r="O325" s="3">
        <v>2346</v>
      </c>
      <c r="P325" s="3">
        <v>2800</v>
      </c>
      <c r="Q325" s="3">
        <v>5.7889999999999997</v>
      </c>
      <c r="R325" s="3">
        <v>0</v>
      </c>
      <c r="S325" s="3">
        <v>0</v>
      </c>
      <c r="T325" s="3">
        <v>0</v>
      </c>
      <c r="U325" s="3">
        <v>0</v>
      </c>
      <c r="V325" s="3">
        <v>0</v>
      </c>
      <c r="W325" s="3">
        <v>0</v>
      </c>
      <c r="X325" s="3">
        <v>0</v>
      </c>
      <c r="Y325" s="3">
        <v>0</v>
      </c>
      <c r="Z325" s="3">
        <v>0</v>
      </c>
      <c r="AA325" s="3">
        <v>0</v>
      </c>
      <c r="AB325" s="3">
        <v>0</v>
      </c>
      <c r="AC325" s="3">
        <v>0</v>
      </c>
      <c r="AD325" s="3">
        <v>0</v>
      </c>
      <c r="AE325" s="3">
        <v>0</v>
      </c>
      <c r="AF325" s="3">
        <v>0</v>
      </c>
    </row>
    <row r="326" spans="8:32" x14ac:dyDescent="0.35">
      <c r="H326" s="3" t="str">
        <v>Sn</v>
      </c>
      <c r="I326" s="3" t="str">
        <v>Tin</v>
      </c>
      <c r="J326" s="3" t="str">
        <v>Solid(wh)</v>
      </c>
      <c r="K326" s="3">
        <v>0</v>
      </c>
      <c r="L326" s="3">
        <v>51.195424000000003</v>
      </c>
      <c r="M326" s="3" t="str">
        <v/>
      </c>
      <c r="N326" s="3" t="str">
        <v/>
      </c>
      <c r="O326" s="3">
        <v>298</v>
      </c>
      <c r="P326" s="3">
        <v>505</v>
      </c>
      <c r="Q326" s="3">
        <v>5.1609999999999996</v>
      </c>
      <c r="R326" s="3">
        <v>0</v>
      </c>
      <c r="S326" s="3">
        <v>4.3249999999999999E-3</v>
      </c>
      <c r="T326" s="3">
        <v>1</v>
      </c>
      <c r="U326" s="3">
        <v>0</v>
      </c>
      <c r="V326" s="3">
        <v>0</v>
      </c>
      <c r="W326" s="3">
        <v>0</v>
      </c>
      <c r="X326" s="3">
        <v>0</v>
      </c>
      <c r="Y326" s="3">
        <v>0</v>
      </c>
      <c r="Z326" s="3">
        <v>0</v>
      </c>
      <c r="AA326" s="3">
        <v>0</v>
      </c>
      <c r="AB326" s="3">
        <v>0</v>
      </c>
      <c r="AC326" s="3">
        <v>0</v>
      </c>
      <c r="AD326" s="3">
        <v>0</v>
      </c>
      <c r="AE326" s="3">
        <v>0</v>
      </c>
      <c r="AF326" s="3">
        <v>0</v>
      </c>
    </row>
    <row r="327" spans="8:32" x14ac:dyDescent="0.35">
      <c r="H327" s="3" t="str">
        <v>Sn</v>
      </c>
      <c r="I327" s="3" t="str">
        <v>Tin</v>
      </c>
      <c r="J327" s="3" t="str">
        <v>Solid(gr)</v>
      </c>
      <c r="K327" s="3">
        <v>-2092</v>
      </c>
      <c r="L327" s="3">
        <v>44.141200000000005</v>
      </c>
      <c r="M327" s="3" t="str">
        <v/>
      </c>
      <c r="N327" s="3" t="str">
        <v/>
      </c>
      <c r="O327" s="3">
        <v>295</v>
      </c>
      <c r="P327" s="3">
        <v>300</v>
      </c>
      <c r="Q327" s="3">
        <v>6.16</v>
      </c>
      <c r="R327" s="3">
        <v>0</v>
      </c>
      <c r="S327" s="3">
        <v>0</v>
      </c>
      <c r="T327" s="3">
        <v>0</v>
      </c>
      <c r="U327" s="3">
        <v>0</v>
      </c>
      <c r="V327" s="3">
        <v>0</v>
      </c>
      <c r="W327" s="3">
        <v>0</v>
      </c>
      <c r="X327" s="3">
        <v>0</v>
      </c>
      <c r="Y327" s="3">
        <v>0</v>
      </c>
      <c r="Z327" s="3">
        <v>0</v>
      </c>
      <c r="AA327" s="3">
        <v>0</v>
      </c>
      <c r="AB327" s="3">
        <v>0</v>
      </c>
      <c r="AC327" s="3">
        <v>0</v>
      </c>
      <c r="AD327" s="3">
        <v>0</v>
      </c>
      <c r="AE327" s="3">
        <v>0</v>
      </c>
      <c r="AF327" s="3">
        <v>0</v>
      </c>
    </row>
    <row r="328" spans="8:32" x14ac:dyDescent="0.35">
      <c r="H328" s="3" t="str">
        <v>Sn</v>
      </c>
      <c r="I328" s="3" t="str">
        <v>Tin</v>
      </c>
      <c r="J328" s="3" t="str">
        <v>Liquid</v>
      </c>
      <c r="K328" s="3" t="str">
        <v/>
      </c>
      <c r="L328" s="3" t="str">
        <v/>
      </c>
      <c r="M328" s="3">
        <v>7029.12</v>
      </c>
      <c r="N328" s="3">
        <v>505.06</v>
      </c>
      <c r="O328" s="3">
        <v>505</v>
      </c>
      <c r="P328" s="3">
        <v>800</v>
      </c>
      <c r="Q328" s="3">
        <v>5.1479999999999997</v>
      </c>
      <c r="R328" s="3">
        <v>0</v>
      </c>
      <c r="S328" s="3">
        <v>1.469E-3</v>
      </c>
      <c r="T328" s="3">
        <v>1</v>
      </c>
      <c r="U328" s="3">
        <v>307900</v>
      </c>
      <c r="V328" s="3">
        <v>-2</v>
      </c>
      <c r="W328" s="3">
        <v>0</v>
      </c>
      <c r="X328" s="3">
        <v>0</v>
      </c>
      <c r="Y328" s="3">
        <v>0</v>
      </c>
      <c r="Z328" s="3">
        <v>0</v>
      </c>
      <c r="AA328" s="3">
        <v>0</v>
      </c>
      <c r="AB328" s="3">
        <v>0</v>
      </c>
      <c r="AC328" s="3">
        <v>0</v>
      </c>
      <c r="AD328" s="3">
        <v>0</v>
      </c>
      <c r="AE328" s="3">
        <v>0</v>
      </c>
      <c r="AF328" s="3">
        <v>0</v>
      </c>
    </row>
    <row r="329" spans="8:32" x14ac:dyDescent="0.35">
      <c r="H329" s="3" t="str">
        <v>Sn</v>
      </c>
      <c r="I329" s="3" t="str">
        <v>Tin</v>
      </c>
      <c r="J329" s="3" t="str">
        <v>Liquid</v>
      </c>
      <c r="K329" s="3" t="str">
        <v/>
      </c>
      <c r="L329" s="3" t="str">
        <v/>
      </c>
      <c r="M329" s="3">
        <v>7029.12</v>
      </c>
      <c r="N329" s="3">
        <v>505.06</v>
      </c>
      <c r="O329" s="3">
        <v>800</v>
      </c>
      <c r="P329" s="3">
        <v>2876</v>
      </c>
      <c r="Q329" s="3">
        <v>6.8</v>
      </c>
      <c r="R329" s="3">
        <v>0</v>
      </c>
      <c r="S329" s="3">
        <v>0</v>
      </c>
      <c r="T329" s="3">
        <v>0</v>
      </c>
      <c r="U329" s="3">
        <v>0</v>
      </c>
      <c r="V329" s="3">
        <v>0</v>
      </c>
      <c r="W329" s="3">
        <v>0</v>
      </c>
      <c r="X329" s="3">
        <v>0</v>
      </c>
      <c r="Y329" s="3">
        <v>0</v>
      </c>
      <c r="Z329" s="3">
        <v>0</v>
      </c>
      <c r="AA329" s="3">
        <v>0</v>
      </c>
      <c r="AB329" s="3">
        <v>0</v>
      </c>
      <c r="AC329" s="3">
        <v>0</v>
      </c>
      <c r="AD329" s="3">
        <v>0</v>
      </c>
      <c r="AE329" s="3">
        <v>0</v>
      </c>
      <c r="AF329" s="3">
        <v>0</v>
      </c>
    </row>
    <row r="330" spans="8:32" x14ac:dyDescent="0.35">
      <c r="H330" s="3" t="str">
        <v>Sn</v>
      </c>
      <c r="I330" s="3" t="str">
        <v>Tin</v>
      </c>
      <c r="J330" s="3" t="str">
        <v>Gas</v>
      </c>
      <c r="K330" s="3" t="str">
        <v/>
      </c>
      <c r="L330" s="3" t="str">
        <v/>
      </c>
      <c r="M330" s="3">
        <v>295762.77600000001</v>
      </c>
      <c r="N330" s="3">
        <v>2876</v>
      </c>
      <c r="O330" s="3">
        <v>2876</v>
      </c>
      <c r="P330" s="3">
        <v>2900</v>
      </c>
      <c r="Q330" s="3">
        <v>6.3140000000000001</v>
      </c>
      <c r="R330" s="3">
        <v>0</v>
      </c>
      <c r="S330" s="3">
        <v>0</v>
      </c>
      <c r="T330" s="3">
        <v>0</v>
      </c>
      <c r="U330" s="3">
        <v>0</v>
      </c>
      <c r="V330" s="3">
        <v>0</v>
      </c>
      <c r="W330" s="3">
        <v>0</v>
      </c>
      <c r="X330" s="3">
        <v>0</v>
      </c>
      <c r="Y330" s="3">
        <v>0</v>
      </c>
      <c r="Z330" s="3">
        <v>0</v>
      </c>
      <c r="AA330" s="3">
        <v>0</v>
      </c>
      <c r="AB330" s="3">
        <v>0</v>
      </c>
      <c r="AC330" s="3">
        <v>0</v>
      </c>
      <c r="AD330" s="3">
        <v>0</v>
      </c>
      <c r="AE330" s="3">
        <v>0</v>
      </c>
      <c r="AF330" s="3">
        <v>0</v>
      </c>
    </row>
    <row r="331" spans="8:32" x14ac:dyDescent="0.35">
      <c r="H331" s="3" t="str">
        <v>Sb</v>
      </c>
      <c r="I331" s="3" t="str">
        <v>Antimony</v>
      </c>
      <c r="J331" s="3" t="str">
        <v>Solid</v>
      </c>
      <c r="K331" s="3">
        <v>0</v>
      </c>
      <c r="L331" s="3">
        <v>45.521920000000009</v>
      </c>
      <c r="M331" s="3" t="str">
        <v/>
      </c>
      <c r="N331" s="3" t="str">
        <v/>
      </c>
      <c r="O331" s="3">
        <v>298</v>
      </c>
      <c r="P331" s="3">
        <v>904</v>
      </c>
      <c r="Q331" s="3">
        <v>7.2830000000000004</v>
      </c>
      <c r="R331" s="3">
        <v>0</v>
      </c>
      <c r="S331" s="3">
        <v>-3.6770000000000001E-3</v>
      </c>
      <c r="T331" s="3">
        <v>1</v>
      </c>
      <c r="U331" s="3">
        <v>-47800</v>
      </c>
      <c r="V331" s="3">
        <v>-2</v>
      </c>
      <c r="W331" s="3">
        <v>4.2869999999999998E-6</v>
      </c>
      <c r="X331" s="3">
        <v>2</v>
      </c>
      <c r="Y331" s="3">
        <v>0</v>
      </c>
      <c r="Z331" s="3">
        <v>0</v>
      </c>
      <c r="AA331" s="3">
        <v>0</v>
      </c>
      <c r="AB331" s="3">
        <v>0</v>
      </c>
      <c r="AC331" s="3">
        <v>0</v>
      </c>
      <c r="AD331" s="3">
        <v>0</v>
      </c>
      <c r="AE331" s="3">
        <v>0</v>
      </c>
      <c r="AF331" s="3">
        <v>0</v>
      </c>
    </row>
    <row r="332" spans="8:32" x14ac:dyDescent="0.35">
      <c r="H332" s="3" t="str">
        <v>Sb</v>
      </c>
      <c r="I332" s="3" t="str">
        <v>Antimony</v>
      </c>
      <c r="J332" s="3" t="str">
        <v>Liquid</v>
      </c>
      <c r="K332" s="3" t="str">
        <v/>
      </c>
      <c r="L332" s="3" t="str">
        <v/>
      </c>
      <c r="M332" s="3">
        <v>19874</v>
      </c>
      <c r="N332" s="3">
        <v>904</v>
      </c>
      <c r="O332" s="3">
        <v>904</v>
      </c>
      <c r="P332" s="3">
        <v>1860</v>
      </c>
      <c r="Q332" s="3">
        <v>7.5</v>
      </c>
      <c r="R332" s="3">
        <v>0</v>
      </c>
      <c r="S332" s="3">
        <v>0</v>
      </c>
      <c r="T332" s="3">
        <v>0</v>
      </c>
      <c r="U332" s="3">
        <v>0</v>
      </c>
      <c r="V332" s="3">
        <v>0</v>
      </c>
      <c r="W332" s="3">
        <v>0</v>
      </c>
      <c r="X332" s="3">
        <v>0</v>
      </c>
      <c r="Y332" s="3">
        <v>0</v>
      </c>
      <c r="Z332" s="3">
        <v>0</v>
      </c>
      <c r="AA332" s="3">
        <v>0</v>
      </c>
      <c r="AB332" s="3">
        <v>0</v>
      </c>
      <c r="AC332" s="3">
        <v>0</v>
      </c>
      <c r="AD332" s="3">
        <v>0</v>
      </c>
      <c r="AE332" s="3">
        <v>0</v>
      </c>
      <c r="AF332" s="3">
        <v>0</v>
      </c>
    </row>
    <row r="333" spans="8:32" x14ac:dyDescent="0.35">
      <c r="H333" s="3" t="str">
        <v>Sb</v>
      </c>
      <c r="I333" s="3" t="str">
        <v>Antimony</v>
      </c>
      <c r="J333" s="3" t="str">
        <v>Gas</v>
      </c>
      <c r="K333" s="3">
        <v>264554.32</v>
      </c>
      <c r="L333" s="3">
        <v>180.15467200000001</v>
      </c>
      <c r="M333" s="3" t="str">
        <v/>
      </c>
      <c r="N333" s="3" t="str">
        <v/>
      </c>
      <c r="O333" s="3">
        <v>298</v>
      </c>
      <c r="P333" s="3">
        <v>800</v>
      </c>
      <c r="Q333" s="3">
        <v>4.968</v>
      </c>
      <c r="R333" s="3">
        <v>0</v>
      </c>
      <c r="S333" s="3">
        <v>0</v>
      </c>
      <c r="T333" s="3">
        <v>0</v>
      </c>
      <c r="U333" s="3">
        <v>0</v>
      </c>
      <c r="V333" s="3">
        <v>0</v>
      </c>
      <c r="W333" s="3">
        <v>0</v>
      </c>
      <c r="X333" s="3">
        <v>0</v>
      </c>
      <c r="Y333" s="3">
        <v>0</v>
      </c>
      <c r="Z333" s="3">
        <v>0</v>
      </c>
      <c r="AA333" s="3">
        <v>0</v>
      </c>
      <c r="AB333" s="3">
        <v>0</v>
      </c>
      <c r="AC333" s="3">
        <v>0</v>
      </c>
      <c r="AD333" s="3">
        <v>0</v>
      </c>
      <c r="AE333" s="3">
        <v>0</v>
      </c>
      <c r="AF333" s="3">
        <v>0</v>
      </c>
    </row>
    <row r="334" spans="8:32" x14ac:dyDescent="0.35">
      <c r="H334" s="3" t="str">
        <v>Sb</v>
      </c>
      <c r="I334" s="3" t="str">
        <v>Antimony</v>
      </c>
      <c r="J334" s="3" t="str">
        <v>Gas</v>
      </c>
      <c r="K334" s="3">
        <v>264554.32</v>
      </c>
      <c r="L334" s="3">
        <v>180.15467200000001</v>
      </c>
      <c r="M334" s="3" t="str">
        <v/>
      </c>
      <c r="N334" s="3" t="str">
        <v/>
      </c>
      <c r="O334" s="3">
        <v>800</v>
      </c>
      <c r="P334" s="3">
        <v>2000</v>
      </c>
      <c r="Q334" s="3">
        <v>4.2610000000000001</v>
      </c>
      <c r="R334" s="3">
        <v>0</v>
      </c>
      <c r="S334" s="3">
        <v>4.5600000000000003E-4</v>
      </c>
      <c r="T334" s="3">
        <v>1</v>
      </c>
      <c r="U334" s="3">
        <v>231300</v>
      </c>
      <c r="V334" s="3">
        <v>-2</v>
      </c>
      <c r="W334" s="3">
        <v>0</v>
      </c>
      <c r="X334" s="3">
        <v>0</v>
      </c>
      <c r="Y334" s="3">
        <v>0</v>
      </c>
      <c r="Z334" s="3">
        <v>0</v>
      </c>
      <c r="AA334" s="3">
        <v>0</v>
      </c>
      <c r="AB334" s="3">
        <v>0</v>
      </c>
      <c r="AC334" s="3">
        <v>0</v>
      </c>
      <c r="AD334" s="3">
        <v>0</v>
      </c>
      <c r="AE334" s="3">
        <v>0</v>
      </c>
      <c r="AF334" s="3">
        <v>0</v>
      </c>
    </row>
    <row r="335" spans="8:32" x14ac:dyDescent="0.35">
      <c r="H335" s="3" t="str">
        <v>Te</v>
      </c>
      <c r="I335" s="3" t="str">
        <v>Tellurium</v>
      </c>
      <c r="J335" s="3" t="str">
        <v>Hexagonal_A8</v>
      </c>
      <c r="K335" s="3">
        <v>0</v>
      </c>
      <c r="L335" s="3">
        <v>49.220999999999997</v>
      </c>
      <c r="M335" s="3" t="str">
        <v/>
      </c>
      <c r="N335" s="3" t="str">
        <v/>
      </c>
      <c r="O335" s="3">
        <v>298.14999999999998</v>
      </c>
      <c r="P335" s="3">
        <v>722.66</v>
      </c>
      <c r="Q335" s="3">
        <v>35.668700000000001</v>
      </c>
      <c r="R335" s="3">
        <v>0</v>
      </c>
      <c r="S335" s="3">
        <v>-3.1668717999999998E-2</v>
      </c>
      <c r="T335" s="3">
        <v>1</v>
      </c>
      <c r="U335" s="3">
        <v>3.1442500000000003E-5</v>
      </c>
      <c r="V335" s="3">
        <v>2</v>
      </c>
      <c r="W335" s="3">
        <v>-310029</v>
      </c>
      <c r="X335" s="3">
        <v>-2</v>
      </c>
      <c r="Y335" s="3">
        <v>0</v>
      </c>
      <c r="Z335" s="3">
        <v>0</v>
      </c>
      <c r="AA335" s="3">
        <v>0</v>
      </c>
      <c r="AB335" s="3">
        <v>0</v>
      </c>
      <c r="AC335" s="3">
        <v>0</v>
      </c>
      <c r="AD335" s="3">
        <v>0</v>
      </c>
      <c r="AE335" s="3">
        <v>0</v>
      </c>
      <c r="AF335" s="3">
        <v>0</v>
      </c>
    </row>
    <row r="336" spans="8:32" x14ac:dyDescent="0.35">
      <c r="H336" s="3" t="str">
        <v>Te</v>
      </c>
      <c r="I336" s="3" t="str">
        <v>Tellurium</v>
      </c>
      <c r="J336" s="3" t="str">
        <v>Hexagonal_A8</v>
      </c>
      <c r="K336" s="3">
        <v>0</v>
      </c>
      <c r="L336" s="3">
        <v>49.220999999999997</v>
      </c>
      <c r="M336" s="3" t="str">
        <v/>
      </c>
      <c r="N336" s="3" t="str">
        <v/>
      </c>
      <c r="O336" s="3">
        <v>722.66</v>
      </c>
      <c r="P336" s="3">
        <v>1150</v>
      </c>
      <c r="Q336" s="3">
        <v>-13.004</v>
      </c>
      <c r="R336" s="3">
        <v>0</v>
      </c>
      <c r="S336" s="3">
        <v>7.2472200000000001E-2</v>
      </c>
      <c r="T336" s="3">
        <v>1</v>
      </c>
      <c r="U336" s="3">
        <v>-3.00382E-5</v>
      </c>
      <c r="V336" s="3">
        <v>2</v>
      </c>
      <c r="W336" s="3">
        <v>2573620</v>
      </c>
      <c r="X336" s="3">
        <v>-2</v>
      </c>
      <c r="Y336" s="3">
        <v>0</v>
      </c>
      <c r="Z336" s="3">
        <v>0</v>
      </c>
      <c r="AA336" s="3">
        <v>0</v>
      </c>
      <c r="AB336" s="3">
        <v>0</v>
      </c>
      <c r="AC336" s="3">
        <v>0</v>
      </c>
      <c r="AD336" s="3">
        <v>0</v>
      </c>
      <c r="AE336" s="3">
        <v>0</v>
      </c>
      <c r="AF336" s="3">
        <v>0</v>
      </c>
    </row>
    <row r="337" spans="8:32" x14ac:dyDescent="0.35">
      <c r="H337" s="3" t="str">
        <v>Te</v>
      </c>
      <c r="I337" s="3" t="str">
        <v>Tellurium</v>
      </c>
      <c r="J337" s="3" t="str">
        <v>Hexagonal_A8</v>
      </c>
      <c r="K337" s="3">
        <v>0</v>
      </c>
      <c r="L337" s="3">
        <v>49.220999999999997</v>
      </c>
      <c r="M337" s="3" t="str">
        <v/>
      </c>
      <c r="N337" s="3" t="str">
        <v/>
      </c>
      <c r="O337" s="3">
        <v>1150</v>
      </c>
      <c r="P337" s="3">
        <v>1600</v>
      </c>
      <c r="Q337" s="3">
        <v>32.559600000000003</v>
      </c>
      <c r="R337" s="3">
        <v>0</v>
      </c>
      <c r="S337" s="3">
        <v>0</v>
      </c>
      <c r="T337" s="3">
        <v>0</v>
      </c>
      <c r="U337" s="3">
        <v>0</v>
      </c>
      <c r="V337" s="3">
        <v>0</v>
      </c>
      <c r="W337" s="3">
        <v>0</v>
      </c>
      <c r="X337" s="3">
        <v>0</v>
      </c>
      <c r="Y337" s="3">
        <v>0</v>
      </c>
      <c r="Z337" s="3">
        <v>0</v>
      </c>
      <c r="AA337" s="3">
        <v>0</v>
      </c>
      <c r="AB337" s="3">
        <v>0</v>
      </c>
      <c r="AC337" s="3">
        <v>0</v>
      </c>
      <c r="AD337" s="3">
        <v>0</v>
      </c>
      <c r="AE337" s="3">
        <v>0</v>
      </c>
      <c r="AF337" s="3">
        <v>0</v>
      </c>
    </row>
    <row r="338" spans="8:32" x14ac:dyDescent="0.35">
      <c r="H338" s="3" t="str">
        <v>Te</v>
      </c>
      <c r="I338" s="3" t="str">
        <v>Tellurium</v>
      </c>
      <c r="J338" s="3" t="str">
        <v>Liquid</v>
      </c>
      <c r="K338" s="3" t="str">
        <v/>
      </c>
      <c r="L338" s="3" t="str">
        <v/>
      </c>
      <c r="M338" s="3">
        <v>17376</v>
      </c>
      <c r="N338" s="3">
        <v>722.66</v>
      </c>
      <c r="O338" s="3">
        <v>298.14999999999998</v>
      </c>
      <c r="P338" s="3">
        <v>626.49</v>
      </c>
      <c r="Q338" s="3">
        <v>126.31802</v>
      </c>
      <c r="R338" s="3">
        <v>0</v>
      </c>
      <c r="S338" s="3">
        <v>-0.44388672000000001</v>
      </c>
      <c r="T338" s="3">
        <v>1</v>
      </c>
      <c r="U338" s="3">
        <v>5.6524476000000001E-4</v>
      </c>
      <c r="V338" s="3">
        <v>2</v>
      </c>
      <c r="W338" s="3">
        <v>-1655855.3</v>
      </c>
      <c r="X338" s="3">
        <v>-2</v>
      </c>
      <c r="Y338" s="3">
        <v>0</v>
      </c>
      <c r="Z338" s="3">
        <v>0</v>
      </c>
      <c r="AA338" s="3">
        <v>0</v>
      </c>
      <c r="AB338" s="3">
        <v>0</v>
      </c>
      <c r="AC338" s="3">
        <v>0</v>
      </c>
      <c r="AD338" s="3">
        <v>0</v>
      </c>
      <c r="AE338" s="3">
        <v>0</v>
      </c>
      <c r="AF338" s="3">
        <v>0</v>
      </c>
    </row>
    <row r="339" spans="8:32" x14ac:dyDescent="0.35">
      <c r="H339" s="3" t="str">
        <v>Te</v>
      </c>
      <c r="I339" s="3" t="str">
        <v>Tellurium</v>
      </c>
      <c r="J339" s="3" t="str">
        <v>Liquid</v>
      </c>
      <c r="K339" s="3" t="str">
        <v/>
      </c>
      <c r="L339" s="3" t="str">
        <v/>
      </c>
      <c r="M339" s="3">
        <v>17376</v>
      </c>
      <c r="N339" s="3">
        <v>722.66</v>
      </c>
      <c r="O339" s="3">
        <v>626.49</v>
      </c>
      <c r="P339" s="3">
        <v>722.66</v>
      </c>
      <c r="Q339" s="3">
        <v>7196.4089999999997</v>
      </c>
      <c r="R339" s="3">
        <v>0</v>
      </c>
      <c r="S339" s="3">
        <v>-14.195498000000001</v>
      </c>
      <c r="T339" s="3">
        <v>1</v>
      </c>
      <c r="U339" s="3">
        <v>7.8415667999999997E-3</v>
      </c>
      <c r="V339" s="3">
        <v>2</v>
      </c>
      <c r="W339" s="3">
        <v>-516102200</v>
      </c>
      <c r="X339" s="3">
        <v>-2</v>
      </c>
      <c r="Y339" s="3">
        <v>0</v>
      </c>
      <c r="Z339" s="3">
        <v>0</v>
      </c>
      <c r="AA339" s="3">
        <v>0</v>
      </c>
      <c r="AB339" s="3">
        <v>0</v>
      </c>
      <c r="AC339" s="3">
        <v>0</v>
      </c>
      <c r="AD339" s="3">
        <v>0</v>
      </c>
      <c r="AE339" s="3">
        <v>0</v>
      </c>
      <c r="AF339" s="3">
        <v>0</v>
      </c>
    </row>
    <row r="340" spans="8:32" x14ac:dyDescent="0.35">
      <c r="H340" s="3" t="str">
        <v>Te</v>
      </c>
      <c r="I340" s="3" t="str">
        <v>Tellurium</v>
      </c>
      <c r="J340" s="3" t="str">
        <v>Liquid</v>
      </c>
      <c r="K340" s="3" t="str">
        <v/>
      </c>
      <c r="L340" s="3" t="str">
        <v/>
      </c>
      <c r="M340" s="3">
        <v>17376</v>
      </c>
      <c r="N340" s="3">
        <v>722.66</v>
      </c>
      <c r="O340" s="3">
        <v>722.66</v>
      </c>
      <c r="P340" s="3">
        <v>1150</v>
      </c>
      <c r="Q340" s="3">
        <v>-202.74299999999999</v>
      </c>
      <c r="R340" s="3">
        <v>0</v>
      </c>
      <c r="S340" s="3">
        <v>0.28403200000000001</v>
      </c>
      <c r="T340" s="3">
        <v>1</v>
      </c>
      <c r="U340" s="3">
        <v>-9.6778400000000002E-5</v>
      </c>
      <c r="V340" s="3">
        <v>2</v>
      </c>
      <c r="W340" s="3">
        <v>48476900</v>
      </c>
      <c r="X340" s="3">
        <v>-2</v>
      </c>
      <c r="Y340" s="3">
        <v>0</v>
      </c>
      <c r="Z340" s="3">
        <v>0</v>
      </c>
      <c r="AA340" s="3">
        <v>0</v>
      </c>
      <c r="AB340" s="3">
        <v>0</v>
      </c>
      <c r="AC340" s="3">
        <v>0</v>
      </c>
      <c r="AD340" s="3">
        <v>0</v>
      </c>
      <c r="AE340" s="3">
        <v>0</v>
      </c>
      <c r="AF340" s="3">
        <v>0</v>
      </c>
    </row>
    <row r="341" spans="8:32" x14ac:dyDescent="0.35">
      <c r="H341" s="3" t="str">
        <v>Te</v>
      </c>
      <c r="I341" s="3" t="str">
        <v>Tellurium</v>
      </c>
      <c r="J341" s="3" t="str">
        <v>Liquid</v>
      </c>
      <c r="K341" s="3" t="str">
        <v/>
      </c>
      <c r="L341" s="3" t="str">
        <v/>
      </c>
      <c r="M341" s="3">
        <v>17376</v>
      </c>
      <c r="N341" s="3">
        <v>722.66</v>
      </c>
      <c r="O341" s="3">
        <v>1150</v>
      </c>
      <c r="P341" s="3">
        <v>1600</v>
      </c>
      <c r="Q341" s="3">
        <v>32.559600000000003</v>
      </c>
      <c r="R341" s="3">
        <v>0</v>
      </c>
      <c r="S341" s="3">
        <v>0</v>
      </c>
      <c r="T341" s="3">
        <v>0</v>
      </c>
      <c r="U341" s="3">
        <v>0</v>
      </c>
      <c r="V341" s="3">
        <v>0</v>
      </c>
      <c r="W341" s="3">
        <v>0</v>
      </c>
      <c r="X341" s="3">
        <v>0</v>
      </c>
      <c r="Y341" s="3">
        <v>0</v>
      </c>
      <c r="Z341" s="3">
        <v>0</v>
      </c>
      <c r="AA341" s="3">
        <v>0</v>
      </c>
      <c r="AB341" s="3">
        <v>0</v>
      </c>
      <c r="AC341" s="3">
        <v>0</v>
      </c>
      <c r="AD341" s="3">
        <v>0</v>
      </c>
      <c r="AE341" s="3">
        <v>0</v>
      </c>
      <c r="AF341" s="3">
        <v>0</v>
      </c>
    </row>
    <row r="342" spans="8:32" x14ac:dyDescent="0.35">
      <c r="H342" s="3" t="str">
        <v>Te</v>
      </c>
      <c r="I342" s="3" t="str">
        <v>Tellurium</v>
      </c>
      <c r="J342" s="3" t="str">
        <v>Gas_monatomic</v>
      </c>
      <c r="K342" s="3">
        <v>209451</v>
      </c>
      <c r="L342" s="3">
        <v>182.59800000000001</v>
      </c>
      <c r="M342" s="3" t="str">
        <v/>
      </c>
      <c r="N342" s="3" t="str">
        <v/>
      </c>
      <c r="O342" s="3">
        <v>298.14999999999998</v>
      </c>
      <c r="P342" s="3">
        <v>500</v>
      </c>
      <c r="Q342" s="3">
        <v>20.786000000000001</v>
      </c>
      <c r="R342" s="3">
        <v>0</v>
      </c>
      <c r="S342" s="3">
        <v>0</v>
      </c>
      <c r="T342" s="3">
        <v>0</v>
      </c>
      <c r="U342" s="3">
        <v>0</v>
      </c>
      <c r="V342" s="3">
        <v>0</v>
      </c>
      <c r="W342" s="3">
        <v>0</v>
      </c>
      <c r="X342" s="3">
        <v>0</v>
      </c>
      <c r="Y342" s="3">
        <v>0</v>
      </c>
      <c r="Z342" s="3">
        <v>0</v>
      </c>
      <c r="AA342" s="3">
        <v>0</v>
      </c>
      <c r="AB342" s="3">
        <v>0</v>
      </c>
      <c r="AC342" s="3">
        <v>0</v>
      </c>
      <c r="AD342" s="3">
        <v>0</v>
      </c>
      <c r="AE342" s="3">
        <v>0</v>
      </c>
      <c r="AF342" s="3">
        <v>0</v>
      </c>
    </row>
    <row r="343" spans="8:32" x14ac:dyDescent="0.35">
      <c r="H343" s="3" t="str">
        <v>Te</v>
      </c>
      <c r="I343" s="3" t="str">
        <v>Tellurium</v>
      </c>
      <c r="J343" s="3" t="str">
        <v>Gas_monatomic</v>
      </c>
      <c r="K343" s="3">
        <v>209451</v>
      </c>
      <c r="L343" s="3">
        <v>182.59800000000001</v>
      </c>
      <c r="M343" s="3" t="str">
        <v/>
      </c>
      <c r="N343" s="3" t="str">
        <v/>
      </c>
      <c r="O343" s="3">
        <v>500</v>
      </c>
      <c r="P343" s="3">
        <v>1000</v>
      </c>
      <c r="Q343" s="3">
        <v>21.872699999999998</v>
      </c>
      <c r="R343" s="3">
        <v>0</v>
      </c>
      <c r="S343" s="3">
        <v>-2.9107400000000002E-3</v>
      </c>
      <c r="T343" s="3">
        <v>1</v>
      </c>
      <c r="U343" s="3">
        <v>2.2057899999999998E-6</v>
      </c>
      <c r="V343" s="3">
        <v>2</v>
      </c>
      <c r="W343" s="3">
        <v>-45703.199999999997</v>
      </c>
      <c r="X343" s="3">
        <v>-2</v>
      </c>
      <c r="Y343" s="3">
        <v>0</v>
      </c>
      <c r="Z343" s="3">
        <v>0</v>
      </c>
      <c r="AA343" s="3">
        <v>0</v>
      </c>
      <c r="AB343" s="3">
        <v>0</v>
      </c>
      <c r="AC343" s="3">
        <v>0</v>
      </c>
      <c r="AD343" s="3">
        <v>0</v>
      </c>
      <c r="AE343" s="3">
        <v>0</v>
      </c>
      <c r="AF343" s="3">
        <v>0</v>
      </c>
    </row>
    <row r="344" spans="8:32" x14ac:dyDescent="0.35">
      <c r="H344" s="3" t="str">
        <v>Te</v>
      </c>
      <c r="I344" s="3" t="str">
        <v>Tellurium</v>
      </c>
      <c r="J344" s="3" t="str">
        <v>Gas_monatomic</v>
      </c>
      <c r="K344" s="3">
        <v>209451</v>
      </c>
      <c r="L344" s="3">
        <v>182.59800000000001</v>
      </c>
      <c r="M344" s="3" t="str">
        <v/>
      </c>
      <c r="N344" s="3" t="str">
        <v/>
      </c>
      <c r="O344" s="3">
        <v>1000</v>
      </c>
      <c r="P344" s="3">
        <v>3000</v>
      </c>
      <c r="Q344" s="3">
        <v>15.280099999999999</v>
      </c>
      <c r="R344" s="3">
        <v>0</v>
      </c>
      <c r="S344" s="3">
        <v>5.4417800000000002E-3</v>
      </c>
      <c r="T344" s="3">
        <v>1</v>
      </c>
      <c r="U344" s="3">
        <v>-7.5562899999999997E-7</v>
      </c>
      <c r="V344" s="3">
        <v>2</v>
      </c>
      <c r="W344" s="3">
        <v>1155800</v>
      </c>
      <c r="X344" s="3">
        <v>-2</v>
      </c>
      <c r="Y344" s="3">
        <v>0</v>
      </c>
      <c r="Z344" s="3">
        <v>0</v>
      </c>
      <c r="AA344" s="3">
        <v>0</v>
      </c>
      <c r="AB344" s="3">
        <v>0</v>
      </c>
      <c r="AC344" s="3">
        <v>0</v>
      </c>
      <c r="AD344" s="3">
        <v>0</v>
      </c>
      <c r="AE344" s="3">
        <v>0</v>
      </c>
      <c r="AF344" s="3">
        <v>0</v>
      </c>
    </row>
    <row r="345" spans="8:32" x14ac:dyDescent="0.35">
      <c r="H345" s="3" t="str">
        <v>I2</v>
      </c>
      <c r="I345" s="3" t="str">
        <v>Iodine</v>
      </c>
      <c r="J345" s="3" t="str">
        <v>Solid-1</v>
      </c>
      <c r="K345" s="3">
        <v>0</v>
      </c>
      <c r="L345" s="3">
        <v>116.142</v>
      </c>
      <c r="M345" s="3" t="str">
        <v/>
      </c>
      <c r="N345" s="3" t="str">
        <v/>
      </c>
      <c r="O345" s="3">
        <v>298.14999999999998</v>
      </c>
      <c r="P345" s="3">
        <v>700</v>
      </c>
      <c r="Q345" s="3">
        <v>-1043.23080450675</v>
      </c>
      <c r="R345" s="3">
        <v>0</v>
      </c>
      <c r="S345" s="3">
        <v>0.37182331904610399</v>
      </c>
      <c r="T345" s="3">
        <v>1</v>
      </c>
      <c r="U345" s="3">
        <v>32250641.633646701</v>
      </c>
      <c r="V345" s="3">
        <v>-2</v>
      </c>
      <c r="W345" s="3">
        <v>-555394.03164032404</v>
      </c>
      <c r="X345" s="3">
        <v>-1</v>
      </c>
      <c r="Y345" s="3">
        <v>42940.067836416703</v>
      </c>
      <c r="Z345" s="3">
        <v>-0.5</v>
      </c>
      <c r="AA345" s="3">
        <v>0</v>
      </c>
      <c r="AB345" s="3">
        <v>0</v>
      </c>
      <c r="AC345" s="3">
        <v>0</v>
      </c>
      <c r="AD345" s="3">
        <v>0</v>
      </c>
      <c r="AE345" s="3">
        <v>0</v>
      </c>
      <c r="AF345" s="3">
        <v>0</v>
      </c>
    </row>
    <row r="346" spans="8:32" x14ac:dyDescent="0.35">
      <c r="H346" s="3" t="str">
        <v>I2</v>
      </c>
      <c r="I346" s="3" t="str">
        <v>Iodine</v>
      </c>
      <c r="J346" s="3" t="str">
        <v>Solid-1</v>
      </c>
      <c r="K346" s="3">
        <v>0</v>
      </c>
      <c r="L346" s="3">
        <v>116.142</v>
      </c>
      <c r="M346" s="3" t="str">
        <v/>
      </c>
      <c r="N346" s="3" t="str">
        <v/>
      </c>
      <c r="O346" s="3">
        <v>700</v>
      </c>
      <c r="P346" s="3">
        <v>1000</v>
      </c>
      <c r="Q346" s="3">
        <v>80.668999999999997</v>
      </c>
      <c r="R346" s="3">
        <v>0</v>
      </c>
      <c r="S346" s="3">
        <v>0</v>
      </c>
      <c r="T346" s="3">
        <v>0</v>
      </c>
      <c r="U346" s="3">
        <v>0</v>
      </c>
      <c r="V346" s="3">
        <v>0</v>
      </c>
      <c r="W346" s="3">
        <v>0</v>
      </c>
      <c r="X346" s="3">
        <v>0</v>
      </c>
      <c r="Y346" s="3">
        <v>0</v>
      </c>
      <c r="Z346" s="3">
        <v>0</v>
      </c>
      <c r="AA346" s="3">
        <v>0</v>
      </c>
      <c r="AB346" s="3">
        <v>0</v>
      </c>
      <c r="AC346" s="3">
        <v>0</v>
      </c>
      <c r="AD346" s="3">
        <v>0</v>
      </c>
      <c r="AE346" s="3">
        <v>0</v>
      </c>
      <c r="AF346" s="3">
        <v>0</v>
      </c>
    </row>
    <row r="347" spans="8:32" x14ac:dyDescent="0.35">
      <c r="H347" s="3" t="str">
        <v>I2</v>
      </c>
      <c r="I347" s="3" t="str">
        <v>Iodine</v>
      </c>
      <c r="J347" s="3" t="str">
        <v>Solid-1</v>
      </c>
      <c r="K347" s="3">
        <v>0</v>
      </c>
      <c r="L347" s="3">
        <v>116.142</v>
      </c>
      <c r="M347" s="3" t="str">
        <v/>
      </c>
      <c r="N347" s="3" t="str">
        <v/>
      </c>
      <c r="O347" s="3">
        <v>1000</v>
      </c>
      <c r="P347" s="3">
        <v>1001</v>
      </c>
      <c r="Q347" s="3">
        <v>40</v>
      </c>
      <c r="R347" s="3">
        <v>0</v>
      </c>
      <c r="S347" s="3">
        <v>0</v>
      </c>
      <c r="T347" s="3">
        <v>0</v>
      </c>
      <c r="U347" s="3">
        <v>0</v>
      </c>
      <c r="V347" s="3">
        <v>0</v>
      </c>
      <c r="W347" s="3">
        <v>0</v>
      </c>
      <c r="X347" s="3">
        <v>0</v>
      </c>
      <c r="Y347" s="3">
        <v>0</v>
      </c>
      <c r="Z347" s="3">
        <v>0</v>
      </c>
      <c r="AA347" s="3">
        <v>0</v>
      </c>
      <c r="AB347" s="3">
        <v>0</v>
      </c>
      <c r="AC347" s="3">
        <v>0</v>
      </c>
      <c r="AD347" s="3">
        <v>0</v>
      </c>
      <c r="AE347" s="3">
        <v>0</v>
      </c>
      <c r="AF347" s="3">
        <v>0</v>
      </c>
    </row>
    <row r="348" spans="8:32" x14ac:dyDescent="0.35">
      <c r="H348" s="3" t="str">
        <v>I2</v>
      </c>
      <c r="I348" s="3" t="str">
        <v>Iodine</v>
      </c>
      <c r="J348" s="3" t="str">
        <v>Liquid-1</v>
      </c>
      <c r="K348" s="3" t="str">
        <v/>
      </c>
      <c r="L348" s="3" t="str">
        <v/>
      </c>
      <c r="M348" s="3">
        <v>15517</v>
      </c>
      <c r="N348" s="3">
        <v>386.75</v>
      </c>
      <c r="O348" s="3">
        <v>298.14999999999998</v>
      </c>
      <c r="P348" s="3">
        <v>1000</v>
      </c>
      <c r="Q348" s="3">
        <v>80.668999999999997</v>
      </c>
      <c r="R348" s="3">
        <v>0</v>
      </c>
      <c r="S348" s="3">
        <v>0</v>
      </c>
      <c r="T348" s="3">
        <v>0</v>
      </c>
      <c r="U348" s="3">
        <v>0</v>
      </c>
      <c r="V348" s="3">
        <v>0</v>
      </c>
      <c r="W348" s="3">
        <v>0</v>
      </c>
      <c r="X348" s="3">
        <v>0</v>
      </c>
      <c r="Y348" s="3">
        <v>0</v>
      </c>
      <c r="Z348" s="3">
        <v>0</v>
      </c>
      <c r="AA348" s="3">
        <v>0</v>
      </c>
      <c r="AB348" s="3">
        <v>0</v>
      </c>
      <c r="AC348" s="3">
        <v>0</v>
      </c>
      <c r="AD348" s="3">
        <v>0</v>
      </c>
      <c r="AE348" s="3">
        <v>0</v>
      </c>
      <c r="AF348" s="3">
        <v>0</v>
      </c>
    </row>
    <row r="349" spans="8:32" x14ac:dyDescent="0.35">
      <c r="H349" s="3" t="str">
        <v>I2</v>
      </c>
      <c r="I349" s="3" t="str">
        <v>Iodine</v>
      </c>
      <c r="J349" s="3" t="str">
        <v>Liquid-1</v>
      </c>
      <c r="K349" s="3" t="str">
        <v/>
      </c>
      <c r="L349" s="3" t="str">
        <v/>
      </c>
      <c r="M349" s="3">
        <v>15517</v>
      </c>
      <c r="N349" s="3">
        <v>386.75</v>
      </c>
      <c r="O349" s="3">
        <v>1000</v>
      </c>
      <c r="P349" s="3">
        <v>1001</v>
      </c>
      <c r="Q349" s="3">
        <v>40</v>
      </c>
      <c r="R349" s="3">
        <v>0</v>
      </c>
      <c r="S349" s="3">
        <v>0</v>
      </c>
      <c r="T349" s="3">
        <v>0</v>
      </c>
      <c r="U349" s="3">
        <v>0</v>
      </c>
      <c r="V349" s="3">
        <v>0</v>
      </c>
      <c r="W349" s="3">
        <v>0</v>
      </c>
      <c r="X349" s="3">
        <v>0</v>
      </c>
      <c r="Y349" s="3">
        <v>0</v>
      </c>
      <c r="Z349" s="3">
        <v>0</v>
      </c>
      <c r="AA349" s="3">
        <v>0</v>
      </c>
      <c r="AB349" s="3">
        <v>0</v>
      </c>
      <c r="AC349" s="3">
        <v>0</v>
      </c>
      <c r="AD349" s="3">
        <v>0</v>
      </c>
      <c r="AE349" s="3">
        <v>0</v>
      </c>
      <c r="AF349" s="3">
        <v>0</v>
      </c>
    </row>
    <row r="350" spans="8:32" x14ac:dyDescent="0.35">
      <c r="H350" s="3" t="str">
        <v>I2</v>
      </c>
      <c r="I350" s="3" t="str">
        <v>Iodine</v>
      </c>
      <c r="J350" s="3" t="str">
        <v>Gas-1</v>
      </c>
      <c r="K350" s="3">
        <v>62421</v>
      </c>
      <c r="L350" s="3">
        <v>260.685</v>
      </c>
      <c r="M350" s="3" t="str">
        <v/>
      </c>
      <c r="N350" s="3" t="str">
        <v/>
      </c>
      <c r="O350" s="3">
        <v>298.14999999999998</v>
      </c>
      <c r="P350" s="3">
        <v>1500</v>
      </c>
      <c r="Q350" s="3">
        <v>45.7599122855042</v>
      </c>
      <c r="R350" s="3">
        <v>0</v>
      </c>
      <c r="S350" s="3">
        <v>-9.1497414682372193E-3</v>
      </c>
      <c r="T350" s="3">
        <v>1</v>
      </c>
      <c r="U350" s="3">
        <v>316617.14762074698</v>
      </c>
      <c r="V350" s="3">
        <v>-2</v>
      </c>
      <c r="W350" s="3">
        <v>4.1335030022271302E-6</v>
      </c>
      <c r="X350" s="3">
        <v>2</v>
      </c>
      <c r="Y350" s="3">
        <v>-3000.5011567304</v>
      </c>
      <c r="Z350" s="3">
        <v>-1</v>
      </c>
      <c r="AA350" s="3">
        <v>0</v>
      </c>
      <c r="AB350" s="3">
        <v>0</v>
      </c>
      <c r="AC350" s="3">
        <v>0</v>
      </c>
      <c r="AD350" s="3">
        <v>0</v>
      </c>
      <c r="AE350" s="3">
        <v>0</v>
      </c>
      <c r="AF350" s="3">
        <v>0</v>
      </c>
    </row>
    <row r="351" spans="8:32" x14ac:dyDescent="0.35">
      <c r="H351" s="3" t="str">
        <v>I2</v>
      </c>
      <c r="I351" s="3" t="str">
        <v>Iodine</v>
      </c>
      <c r="J351" s="3" t="str">
        <v>Gas-1</v>
      </c>
      <c r="K351" s="3">
        <v>62421</v>
      </c>
      <c r="L351" s="3">
        <v>260.685</v>
      </c>
      <c r="M351" s="3" t="str">
        <v/>
      </c>
      <c r="N351" s="3" t="str">
        <v/>
      </c>
      <c r="O351" s="3">
        <v>1500</v>
      </c>
      <c r="P351" s="3">
        <v>3500</v>
      </c>
      <c r="Q351" s="3">
        <v>4957.0558964635002</v>
      </c>
      <c r="R351" s="3">
        <v>0</v>
      </c>
      <c r="S351" s="3">
        <v>-0.47946575845200701</v>
      </c>
      <c r="T351" s="3">
        <v>1</v>
      </c>
      <c r="U351" s="3">
        <v>-1150390353.4810801</v>
      </c>
      <c r="V351" s="3">
        <v>-2</v>
      </c>
      <c r="W351" s="3">
        <v>2.8955811512871099E-5</v>
      </c>
      <c r="X351" s="3">
        <v>2</v>
      </c>
      <c r="Y351" s="3">
        <v>6904402.7969399802</v>
      </c>
      <c r="Z351" s="3">
        <v>-1</v>
      </c>
      <c r="AA351" s="3">
        <v>-323594.82152762398</v>
      </c>
      <c r="AB351" s="3">
        <v>-0.5</v>
      </c>
      <c r="AC351" s="3">
        <v>0</v>
      </c>
      <c r="AD351" s="3">
        <v>0</v>
      </c>
      <c r="AE351" s="3">
        <v>0</v>
      </c>
      <c r="AF351" s="3">
        <v>0</v>
      </c>
    </row>
    <row r="352" spans="8:32" x14ac:dyDescent="0.35">
      <c r="H352" s="3" t="str">
        <v>I2</v>
      </c>
      <c r="I352" s="3" t="str">
        <v>Iodine</v>
      </c>
      <c r="J352" s="3" t="str">
        <v>Gas-1</v>
      </c>
      <c r="K352" s="3">
        <v>62421</v>
      </c>
      <c r="L352" s="3">
        <v>260.685</v>
      </c>
      <c r="M352" s="3" t="str">
        <v/>
      </c>
      <c r="N352" s="3" t="str">
        <v/>
      </c>
      <c r="O352" s="3">
        <v>3500</v>
      </c>
      <c r="P352" s="3">
        <v>6000</v>
      </c>
      <c r="Q352" s="3">
        <v>123.658193722673</v>
      </c>
      <c r="R352" s="3">
        <v>0</v>
      </c>
      <c r="S352" s="3">
        <v>-974974093.63162601</v>
      </c>
      <c r="T352" s="3">
        <v>-2</v>
      </c>
      <c r="U352" s="3">
        <v>1255865.3975285001</v>
      </c>
      <c r="V352" s="3">
        <v>-1</v>
      </c>
      <c r="W352" s="3">
        <v>-21311.283089161501</v>
      </c>
      <c r="X352" s="3">
        <v>-0.5</v>
      </c>
      <c r="Y352" s="3">
        <v>0</v>
      </c>
      <c r="Z352" s="3">
        <v>0</v>
      </c>
      <c r="AA352" s="3">
        <v>0</v>
      </c>
      <c r="AB352" s="3">
        <v>0</v>
      </c>
      <c r="AC352" s="3">
        <v>0</v>
      </c>
      <c r="AD352" s="3">
        <v>0</v>
      </c>
      <c r="AE352" s="3">
        <v>0</v>
      </c>
      <c r="AF352" s="3">
        <v>0</v>
      </c>
    </row>
    <row r="353" spans="8:32" x14ac:dyDescent="0.35">
      <c r="H353" s="3" t="str">
        <v>I2</v>
      </c>
      <c r="I353" s="3" t="str">
        <v>Iodine</v>
      </c>
      <c r="J353" s="3" t="str">
        <v>Aqueous</v>
      </c>
      <c r="K353" s="3">
        <v>22594</v>
      </c>
      <c r="L353" s="3">
        <v>137.23500000000001</v>
      </c>
      <c r="M353" s="3" t="str">
        <v/>
      </c>
      <c r="N353" s="3" t="str">
        <v/>
      </c>
      <c r="O353" s="3">
        <v>298.14999999999998</v>
      </c>
      <c r="P353" s="3">
        <v>298.14999999999998</v>
      </c>
      <c r="Q353" s="3">
        <v>0</v>
      </c>
      <c r="R353" s="3">
        <v>0</v>
      </c>
      <c r="S353" s="3">
        <v>0</v>
      </c>
      <c r="T353" s="3">
        <v>0</v>
      </c>
      <c r="U353" s="3">
        <v>0</v>
      </c>
      <c r="V353" s="3">
        <v>0</v>
      </c>
      <c r="W353" s="3">
        <v>0</v>
      </c>
      <c r="X353" s="3">
        <v>0</v>
      </c>
      <c r="Y353" s="3">
        <v>0</v>
      </c>
      <c r="Z353" s="3">
        <v>0</v>
      </c>
      <c r="AA353" s="3">
        <v>0</v>
      </c>
      <c r="AB353" s="3">
        <v>0</v>
      </c>
      <c r="AC353" s="3">
        <v>0</v>
      </c>
      <c r="AD353" s="3">
        <v>0</v>
      </c>
      <c r="AE353" s="3">
        <v>0</v>
      </c>
      <c r="AF353" s="3">
        <v>0</v>
      </c>
    </row>
    <row r="354" spans="8:32" x14ac:dyDescent="0.35">
      <c r="H354" s="3" t="str">
        <v>Xe</v>
      </c>
      <c r="I354" s="3" t="str">
        <v>Xenon</v>
      </c>
      <c r="J354" s="3" t="str">
        <v>Gas-1</v>
      </c>
      <c r="K354" s="3">
        <v>0</v>
      </c>
      <c r="L354" s="3">
        <v>169.684</v>
      </c>
      <c r="M354" s="3" t="str">
        <v/>
      </c>
      <c r="N354" s="3" t="str">
        <v/>
      </c>
      <c r="O354" s="3">
        <v>298.14999999999998</v>
      </c>
      <c r="P354" s="3">
        <v>6000</v>
      </c>
      <c r="Q354" s="3">
        <v>20.786000000000001</v>
      </c>
      <c r="R354" s="3">
        <v>0</v>
      </c>
      <c r="S354" s="3">
        <v>0</v>
      </c>
      <c r="T354" s="3">
        <v>0</v>
      </c>
      <c r="U354" s="3">
        <v>0</v>
      </c>
      <c r="V354" s="3">
        <v>0</v>
      </c>
      <c r="W354" s="3">
        <v>0</v>
      </c>
      <c r="X354" s="3">
        <v>0</v>
      </c>
      <c r="Y354" s="3">
        <v>0</v>
      </c>
      <c r="Z354" s="3">
        <v>0</v>
      </c>
      <c r="AA354" s="3">
        <v>0</v>
      </c>
      <c r="AB354" s="3">
        <v>0</v>
      </c>
      <c r="AC354" s="3">
        <v>0</v>
      </c>
      <c r="AD354" s="3">
        <v>0</v>
      </c>
      <c r="AE354" s="3">
        <v>0</v>
      </c>
      <c r="AF354" s="3">
        <v>0</v>
      </c>
    </row>
    <row r="355" spans="8:32" x14ac:dyDescent="0.35">
      <c r="H355" s="3" t="str">
        <v>Xe</v>
      </c>
      <c r="I355" s="3" t="str">
        <v>Xenon</v>
      </c>
      <c r="J355" s="3" t="str">
        <v>Aqueous</v>
      </c>
      <c r="K355" s="3">
        <v>-17573</v>
      </c>
      <c r="L355" s="3">
        <v>65.688999999999993</v>
      </c>
      <c r="M355" s="3" t="str">
        <v/>
      </c>
      <c r="N355" s="3" t="str">
        <v/>
      </c>
      <c r="O355" s="3">
        <v>298.14999999999998</v>
      </c>
      <c r="P355" s="3">
        <v>298.14999999999998</v>
      </c>
      <c r="Q355" s="3">
        <v>0</v>
      </c>
      <c r="R355" s="3">
        <v>0</v>
      </c>
      <c r="S355" s="3">
        <v>0</v>
      </c>
      <c r="T355" s="3">
        <v>0</v>
      </c>
      <c r="U355" s="3">
        <v>0</v>
      </c>
      <c r="V355" s="3">
        <v>0</v>
      </c>
      <c r="W355" s="3">
        <v>0</v>
      </c>
      <c r="X355" s="3">
        <v>0</v>
      </c>
      <c r="Y355" s="3">
        <v>0</v>
      </c>
      <c r="Z355" s="3">
        <v>0</v>
      </c>
      <c r="AA355" s="3">
        <v>0</v>
      </c>
      <c r="AB355" s="3">
        <v>0</v>
      </c>
      <c r="AC355" s="3">
        <v>0</v>
      </c>
      <c r="AD355" s="3">
        <v>0</v>
      </c>
      <c r="AE355" s="3">
        <v>0</v>
      </c>
      <c r="AF355" s="3">
        <v>0</v>
      </c>
    </row>
    <row r="356" spans="8:32" x14ac:dyDescent="0.35">
      <c r="H356" s="3" t="str">
        <v>Cs</v>
      </c>
      <c r="I356" s="3" t="str">
        <v>Cesium</v>
      </c>
      <c r="J356" s="3" t="str">
        <v>Solid-1</v>
      </c>
      <c r="K356" s="3">
        <v>0</v>
      </c>
      <c r="L356" s="3">
        <v>85.147000000000006</v>
      </c>
      <c r="M356" s="3" t="str">
        <v/>
      </c>
      <c r="N356" s="3" t="str">
        <v/>
      </c>
      <c r="O356" s="3">
        <v>298.14999999999998</v>
      </c>
      <c r="P356" s="3">
        <v>500</v>
      </c>
      <c r="Q356" s="3">
        <v>28.636394805897499</v>
      </c>
      <c r="R356" s="3">
        <v>0</v>
      </c>
      <c r="S356" s="3">
        <v>3.7849661680441002E-3</v>
      </c>
      <c r="T356" s="3">
        <v>1</v>
      </c>
      <c r="U356" s="3">
        <v>-1917052.5556777699</v>
      </c>
      <c r="V356" s="3">
        <v>-2</v>
      </c>
      <c r="W356" s="3">
        <v>7167.4806579527303</v>
      </c>
      <c r="X356" s="3">
        <v>-1</v>
      </c>
      <c r="Y356" s="3">
        <v>0</v>
      </c>
      <c r="Z356" s="3">
        <v>0</v>
      </c>
      <c r="AA356" s="3">
        <v>0</v>
      </c>
      <c r="AB356" s="3">
        <v>0</v>
      </c>
      <c r="AC356" s="3">
        <v>0</v>
      </c>
      <c r="AD356" s="3">
        <v>0</v>
      </c>
      <c r="AE356" s="3">
        <v>0</v>
      </c>
      <c r="AF356" s="3">
        <v>0</v>
      </c>
    </row>
    <row r="357" spans="8:32" x14ac:dyDescent="0.35">
      <c r="H357" s="3" t="str">
        <v>Cs</v>
      </c>
      <c r="I357" s="3" t="str">
        <v>Cesium</v>
      </c>
      <c r="J357" s="3" t="str">
        <v>Solid-1</v>
      </c>
      <c r="K357" s="3">
        <v>0</v>
      </c>
      <c r="L357" s="3">
        <v>85.147000000000006</v>
      </c>
      <c r="M357" s="3" t="str">
        <v/>
      </c>
      <c r="N357" s="3" t="str">
        <v/>
      </c>
      <c r="O357" s="3">
        <v>500</v>
      </c>
      <c r="P357" s="3">
        <v>501</v>
      </c>
      <c r="Q357" s="3">
        <v>31</v>
      </c>
      <c r="R357" s="3">
        <v>0</v>
      </c>
      <c r="S357" s="3">
        <v>0</v>
      </c>
      <c r="T357" s="3">
        <v>0</v>
      </c>
      <c r="U357" s="3">
        <v>0</v>
      </c>
      <c r="V357" s="3">
        <v>0</v>
      </c>
      <c r="W357" s="3">
        <v>0</v>
      </c>
      <c r="X357" s="3">
        <v>0</v>
      </c>
      <c r="Y357" s="3">
        <v>0</v>
      </c>
      <c r="Z357" s="3">
        <v>0</v>
      </c>
      <c r="AA357" s="3">
        <v>0</v>
      </c>
      <c r="AB357" s="3">
        <v>0</v>
      </c>
      <c r="AC357" s="3">
        <v>0</v>
      </c>
      <c r="AD357" s="3">
        <v>0</v>
      </c>
      <c r="AE357" s="3">
        <v>0</v>
      </c>
      <c r="AF357" s="3">
        <v>0</v>
      </c>
    </row>
    <row r="358" spans="8:32" x14ac:dyDescent="0.35">
      <c r="H358" s="3" t="str">
        <v>Cs</v>
      </c>
      <c r="I358" s="3" t="str">
        <v>Cesium</v>
      </c>
      <c r="J358" s="3" t="str">
        <v>Liquid-1</v>
      </c>
      <c r="K358" s="3" t="str">
        <v/>
      </c>
      <c r="L358" s="3" t="str">
        <v/>
      </c>
      <c r="M358" s="3">
        <v>2087</v>
      </c>
      <c r="N358" s="3">
        <v>301.55</v>
      </c>
      <c r="O358" s="3">
        <v>298.14999999999998</v>
      </c>
      <c r="P358" s="3">
        <v>1500</v>
      </c>
      <c r="Q358" s="3">
        <v>29.7882739011621</v>
      </c>
      <c r="R358" s="3">
        <v>0</v>
      </c>
      <c r="S358" s="3">
        <v>9.4921233006964095E-4</v>
      </c>
      <c r="T358" s="3">
        <v>1</v>
      </c>
      <c r="U358" s="3">
        <v>190052.554041255</v>
      </c>
      <c r="V358" s="3">
        <v>-2</v>
      </c>
      <c r="W358" s="3">
        <v>69.683162124834794</v>
      </c>
      <c r="X358" s="3">
        <v>-1</v>
      </c>
      <c r="Y358" s="3">
        <v>0</v>
      </c>
      <c r="Z358" s="3">
        <v>0</v>
      </c>
      <c r="AA358" s="3">
        <v>0</v>
      </c>
      <c r="AB358" s="3">
        <v>0</v>
      </c>
      <c r="AC358" s="3">
        <v>0</v>
      </c>
      <c r="AD358" s="3">
        <v>0</v>
      </c>
      <c r="AE358" s="3">
        <v>0</v>
      </c>
      <c r="AF358" s="3">
        <v>0</v>
      </c>
    </row>
    <row r="359" spans="8:32" x14ac:dyDescent="0.35">
      <c r="H359" s="3" t="str">
        <v>Cs</v>
      </c>
      <c r="I359" s="3" t="str">
        <v>Cesium</v>
      </c>
      <c r="J359" s="3" t="str">
        <v>Gas-1</v>
      </c>
      <c r="K359" s="3">
        <v>76500</v>
      </c>
      <c r="L359" s="3">
        <v>175.59899999999999</v>
      </c>
      <c r="M359" s="3" t="str">
        <v/>
      </c>
      <c r="N359" s="3" t="str">
        <v/>
      </c>
      <c r="O359" s="3">
        <v>298.14999999999998</v>
      </c>
      <c r="P359" s="3">
        <v>2200</v>
      </c>
      <c r="Q359" s="3">
        <v>-7.8714087228489804</v>
      </c>
      <c r="R359" s="3">
        <v>0</v>
      </c>
      <c r="S359" s="3">
        <v>4.4698074001533203E-3</v>
      </c>
      <c r="T359" s="3">
        <v>1</v>
      </c>
      <c r="U359" s="3">
        <v>1155409.6028056</v>
      </c>
      <c r="V359" s="3">
        <v>-2</v>
      </c>
      <c r="W359" s="3">
        <v>-18226.362518699101</v>
      </c>
      <c r="X359" s="3">
        <v>-1</v>
      </c>
      <c r="Y359" s="3">
        <v>1303.3954698699999</v>
      </c>
      <c r="Z359" s="3">
        <v>-0.5</v>
      </c>
      <c r="AA359" s="3">
        <v>0</v>
      </c>
      <c r="AB359" s="3">
        <v>0</v>
      </c>
      <c r="AC359" s="3">
        <v>0</v>
      </c>
      <c r="AD359" s="3">
        <v>0</v>
      </c>
      <c r="AE359" s="3">
        <v>0</v>
      </c>
      <c r="AF359" s="3">
        <v>0</v>
      </c>
    </row>
    <row r="360" spans="8:32" x14ac:dyDescent="0.35">
      <c r="H360" s="3" t="str">
        <v>Cs</v>
      </c>
      <c r="I360" s="3" t="str">
        <v>Cesium</v>
      </c>
      <c r="J360" s="3" t="str">
        <v>Gas-1</v>
      </c>
      <c r="K360" s="3">
        <v>76500</v>
      </c>
      <c r="L360" s="3">
        <v>175.59899999999999</v>
      </c>
      <c r="M360" s="3" t="str">
        <v/>
      </c>
      <c r="N360" s="3" t="str">
        <v/>
      </c>
      <c r="O360" s="3">
        <v>2200</v>
      </c>
      <c r="P360" s="3">
        <v>4400</v>
      </c>
      <c r="Q360" s="3">
        <v>-10179.1766310943</v>
      </c>
      <c r="R360" s="3">
        <v>0</v>
      </c>
      <c r="S360" s="3">
        <v>0.78395915150345297</v>
      </c>
      <c r="T360" s="3">
        <v>1</v>
      </c>
      <c r="U360" s="3">
        <v>4485137556.7769003</v>
      </c>
      <c r="V360" s="3">
        <v>-2</v>
      </c>
      <c r="W360" s="3">
        <v>-3.8350511428747202E-5</v>
      </c>
      <c r="X360" s="3">
        <v>2</v>
      </c>
      <c r="Y360" s="3">
        <v>-19247050.240882002</v>
      </c>
      <c r="Z360" s="3">
        <v>-1</v>
      </c>
      <c r="AA360" s="3">
        <v>773157.13591346005</v>
      </c>
      <c r="AB360" s="3">
        <v>-0.5</v>
      </c>
      <c r="AC360" s="3">
        <v>0</v>
      </c>
      <c r="AD360" s="3">
        <v>0</v>
      </c>
      <c r="AE360" s="3">
        <v>0</v>
      </c>
      <c r="AF360" s="3">
        <v>0</v>
      </c>
    </row>
    <row r="361" spans="8:32" x14ac:dyDescent="0.35">
      <c r="H361" s="3" t="str">
        <v>Cs</v>
      </c>
      <c r="I361" s="3" t="str">
        <v>Cesium</v>
      </c>
      <c r="J361" s="3" t="str">
        <v>Gas-1</v>
      </c>
      <c r="K361" s="3">
        <v>76500</v>
      </c>
      <c r="L361" s="3">
        <v>175.59899999999999</v>
      </c>
      <c r="M361" s="3" t="str">
        <v/>
      </c>
      <c r="N361" s="3" t="str">
        <v/>
      </c>
      <c r="O361" s="3">
        <v>4400</v>
      </c>
      <c r="P361" s="3">
        <v>5100</v>
      </c>
      <c r="Q361" s="3">
        <v>3311097.1445919299</v>
      </c>
      <c r="R361" s="3">
        <v>0</v>
      </c>
      <c r="S361" s="3">
        <v>114.63906828645101</v>
      </c>
      <c r="T361" s="3">
        <v>1</v>
      </c>
      <c r="U361" s="3">
        <v>2654335151.9236999</v>
      </c>
      <c r="V361" s="3">
        <v>-1</v>
      </c>
      <c r="W361" s="3">
        <v>-31817.599757426698</v>
      </c>
      <c r="X361" s="3">
        <v>0.5</v>
      </c>
      <c r="Y361" s="3">
        <v>-153107693.77604401</v>
      </c>
      <c r="Z361" s="3">
        <v>-0.5</v>
      </c>
      <c r="AA361" s="3">
        <v>0</v>
      </c>
      <c r="AB361" s="3">
        <v>0</v>
      </c>
      <c r="AC361" s="3">
        <v>0</v>
      </c>
      <c r="AD361" s="3">
        <v>0</v>
      </c>
      <c r="AE361" s="3">
        <v>0</v>
      </c>
      <c r="AF361" s="3">
        <v>0</v>
      </c>
    </row>
    <row r="362" spans="8:32" x14ac:dyDescent="0.35">
      <c r="H362" s="3" t="str">
        <v>Cs</v>
      </c>
      <c r="I362" s="3" t="str">
        <v>Cesium</v>
      </c>
      <c r="J362" s="3" t="str">
        <v>Gas-1</v>
      </c>
      <c r="K362" s="3">
        <v>76500</v>
      </c>
      <c r="L362" s="3">
        <v>175.59899999999999</v>
      </c>
      <c r="M362" s="3" t="str">
        <v/>
      </c>
      <c r="N362" s="3" t="str">
        <v/>
      </c>
      <c r="O362" s="3">
        <v>5100</v>
      </c>
      <c r="P362" s="3">
        <v>6000</v>
      </c>
      <c r="Q362" s="3">
        <v>-3943.0339793625599</v>
      </c>
      <c r="R362" s="3">
        <v>0</v>
      </c>
      <c r="S362" s="3">
        <v>41117294011.9655</v>
      </c>
      <c r="T362" s="3">
        <v>-2</v>
      </c>
      <c r="U362" s="3">
        <v>-44652924.133361198</v>
      </c>
      <c r="V362" s="3">
        <v>-1</v>
      </c>
      <c r="W362" s="3">
        <v>797289.87176940602</v>
      </c>
      <c r="X362" s="3">
        <v>-0.5</v>
      </c>
      <c r="Y362" s="3">
        <v>0</v>
      </c>
      <c r="Z362" s="3">
        <v>0</v>
      </c>
      <c r="AA362" s="3">
        <v>0</v>
      </c>
      <c r="AB362" s="3">
        <v>0</v>
      </c>
      <c r="AC362" s="3">
        <v>0</v>
      </c>
      <c r="AD362" s="3">
        <v>0</v>
      </c>
      <c r="AE362" s="3">
        <v>0</v>
      </c>
      <c r="AF362" s="3">
        <v>0</v>
      </c>
    </row>
    <row r="363" spans="8:32" x14ac:dyDescent="0.35">
      <c r="H363" s="3" t="str">
        <v>Ba</v>
      </c>
      <c r="I363" s="3" t="str">
        <v>Barium</v>
      </c>
      <c r="J363" s="3" t="str">
        <v>Solid</v>
      </c>
      <c r="K363" s="3">
        <v>0</v>
      </c>
      <c r="L363" s="3">
        <v>62.475000000000001</v>
      </c>
      <c r="M363" s="3" t="str">
        <v/>
      </c>
      <c r="N363" s="3" t="str">
        <v/>
      </c>
      <c r="O363" s="3">
        <v>298.14999999999998</v>
      </c>
      <c r="P363" s="3">
        <v>582.53</v>
      </c>
      <c r="Q363" s="3">
        <v>29.769386516289199</v>
      </c>
      <c r="R363" s="3">
        <v>0</v>
      </c>
      <c r="S363" s="3">
        <v>2699306.66206596</v>
      </c>
      <c r="T363" s="3">
        <v>-2</v>
      </c>
      <c r="U363" s="3">
        <v>1.12592012333118E-4</v>
      </c>
      <c r="V363" s="3">
        <v>2</v>
      </c>
      <c r="W363" s="3">
        <v>-12527.987688228</v>
      </c>
      <c r="X363" s="3">
        <v>-1</v>
      </c>
      <c r="Y363" s="3">
        <v>0</v>
      </c>
      <c r="Z363" s="3">
        <v>0</v>
      </c>
      <c r="AA363" s="3">
        <v>0</v>
      </c>
      <c r="AB363" s="3">
        <v>0</v>
      </c>
      <c r="AC363" s="3">
        <v>0</v>
      </c>
      <c r="AD363" s="3">
        <v>0</v>
      </c>
      <c r="AE363" s="3">
        <v>0</v>
      </c>
      <c r="AF363" s="3">
        <v>0</v>
      </c>
    </row>
    <row r="364" spans="8:32" x14ac:dyDescent="0.35">
      <c r="H364" s="3" t="str">
        <v>Ba</v>
      </c>
      <c r="I364" s="3" t="str">
        <v>Barium</v>
      </c>
      <c r="J364" s="3" t="str">
        <v>Solid</v>
      </c>
      <c r="K364" s="3">
        <v>0</v>
      </c>
      <c r="L364" s="3">
        <v>62.475000000000001</v>
      </c>
      <c r="M364" s="3" t="str">
        <v/>
      </c>
      <c r="N364" s="3" t="str">
        <v/>
      </c>
      <c r="O364" s="3">
        <v>582.53</v>
      </c>
      <c r="P364" s="3">
        <v>768.13</v>
      </c>
      <c r="Q364" s="3">
        <v>-16.601182441967701</v>
      </c>
      <c r="R364" s="3">
        <v>0</v>
      </c>
      <c r="S364" s="3">
        <v>8.4235522386073999E-2</v>
      </c>
      <c r="T364" s="3">
        <v>1</v>
      </c>
      <c r="U364" s="3">
        <v>0</v>
      </c>
      <c r="V364" s="3">
        <v>0</v>
      </c>
      <c r="W364" s="3">
        <v>0</v>
      </c>
      <c r="X364" s="3">
        <v>0</v>
      </c>
      <c r="Y364" s="3">
        <v>0</v>
      </c>
      <c r="Z364" s="3">
        <v>0</v>
      </c>
      <c r="AA364" s="3">
        <v>0</v>
      </c>
      <c r="AB364" s="3">
        <v>0</v>
      </c>
      <c r="AC364" s="3">
        <v>0</v>
      </c>
      <c r="AD364" s="3">
        <v>0</v>
      </c>
      <c r="AE364" s="3">
        <v>0</v>
      </c>
      <c r="AF364" s="3">
        <v>0</v>
      </c>
    </row>
    <row r="365" spans="8:32" x14ac:dyDescent="0.35">
      <c r="H365" s="3" t="str">
        <v>Ba</v>
      </c>
      <c r="I365" s="3" t="str">
        <v>Barium</v>
      </c>
      <c r="J365" s="3" t="str">
        <v>Solid</v>
      </c>
      <c r="K365" s="3">
        <v>0</v>
      </c>
      <c r="L365" s="3">
        <v>62.475000000000001</v>
      </c>
      <c r="M365" s="3" t="str">
        <v/>
      </c>
      <c r="N365" s="3" t="str">
        <v/>
      </c>
      <c r="O365" s="3">
        <v>768.13</v>
      </c>
      <c r="P365" s="3">
        <v>1500</v>
      </c>
      <c r="Q365" s="3">
        <v>39.066000000000003</v>
      </c>
      <c r="R365" s="3">
        <v>0</v>
      </c>
      <c r="S365" s="3">
        <v>0</v>
      </c>
      <c r="T365" s="3">
        <v>0</v>
      </c>
      <c r="U365" s="3">
        <v>0</v>
      </c>
      <c r="V365" s="3">
        <v>0</v>
      </c>
      <c r="W365" s="3">
        <v>0</v>
      </c>
      <c r="X365" s="3">
        <v>0</v>
      </c>
      <c r="Y365" s="3">
        <v>0</v>
      </c>
      <c r="Z365" s="3">
        <v>0</v>
      </c>
      <c r="AA365" s="3">
        <v>0</v>
      </c>
      <c r="AB365" s="3">
        <v>0</v>
      </c>
      <c r="AC365" s="3">
        <v>0</v>
      </c>
      <c r="AD365" s="3">
        <v>0</v>
      </c>
      <c r="AE365" s="3">
        <v>0</v>
      </c>
      <c r="AF365" s="3">
        <v>0</v>
      </c>
    </row>
    <row r="366" spans="8:32" x14ac:dyDescent="0.35">
      <c r="H366" s="3" t="str">
        <v>Ba</v>
      </c>
      <c r="I366" s="3" t="str">
        <v>Barium</v>
      </c>
      <c r="J366" s="3" t="str">
        <v>Liquid</v>
      </c>
      <c r="K366" s="3" t="str">
        <v/>
      </c>
      <c r="L366" s="3" t="str">
        <v/>
      </c>
      <c r="M366" s="3">
        <v>8012</v>
      </c>
      <c r="N366" s="3">
        <v>1000</v>
      </c>
      <c r="O366" s="3">
        <v>298.14999999999998</v>
      </c>
      <c r="P366" s="3">
        <v>580</v>
      </c>
      <c r="Q366" s="3">
        <v>-93.551370138162696</v>
      </c>
      <c r="R366" s="3">
        <v>0</v>
      </c>
      <c r="S366" s="3">
        <v>0.19440575461866999</v>
      </c>
      <c r="T366" s="3">
        <v>1</v>
      </c>
      <c r="U366" s="3">
        <v>-755838.376366538</v>
      </c>
      <c r="V366" s="3">
        <v>-2</v>
      </c>
      <c r="W366" s="3">
        <v>21529.021288680899</v>
      </c>
      <c r="X366" s="3">
        <v>-1</v>
      </c>
      <c r="Y366" s="3">
        <v>0</v>
      </c>
      <c r="Z366" s="3">
        <v>0</v>
      </c>
      <c r="AA366" s="3">
        <v>0</v>
      </c>
      <c r="AB366" s="3">
        <v>0</v>
      </c>
      <c r="AC366" s="3">
        <v>0</v>
      </c>
      <c r="AD366" s="3">
        <v>0</v>
      </c>
      <c r="AE366" s="3">
        <v>0</v>
      </c>
      <c r="AF366" s="3">
        <v>0</v>
      </c>
    </row>
    <row r="367" spans="8:32" x14ac:dyDescent="0.35">
      <c r="H367" s="3" t="str">
        <v>Ba</v>
      </c>
      <c r="I367" s="3" t="str">
        <v>Barium</v>
      </c>
      <c r="J367" s="3" t="str">
        <v>Liquid</v>
      </c>
      <c r="K367" s="3" t="str">
        <v/>
      </c>
      <c r="L367" s="3" t="str">
        <v/>
      </c>
      <c r="M367" s="3">
        <v>8012</v>
      </c>
      <c r="N367" s="3">
        <v>1000</v>
      </c>
      <c r="O367" s="3">
        <v>580</v>
      </c>
      <c r="P367" s="3">
        <v>3500</v>
      </c>
      <c r="Q367" s="3">
        <v>68.019808836142303</v>
      </c>
      <c r="R367" s="3">
        <v>0</v>
      </c>
      <c r="S367" s="3">
        <v>-3.5272241546222799E-2</v>
      </c>
      <c r="T367" s="3">
        <v>1</v>
      </c>
      <c r="U367" s="3">
        <v>1.0560055067371401E-5</v>
      </c>
      <c r="V367" s="3">
        <v>2</v>
      </c>
      <c r="W367" s="3">
        <v>0</v>
      </c>
      <c r="X367" s="3">
        <v>0</v>
      </c>
      <c r="Y367" s="3">
        <v>0</v>
      </c>
      <c r="Z367" s="3">
        <v>0</v>
      </c>
      <c r="AA367" s="3">
        <v>0</v>
      </c>
      <c r="AB367" s="3">
        <v>0</v>
      </c>
      <c r="AC367" s="3">
        <v>0</v>
      </c>
      <c r="AD367" s="3">
        <v>0</v>
      </c>
      <c r="AE367" s="3">
        <v>0</v>
      </c>
      <c r="AF367" s="3">
        <v>0</v>
      </c>
    </row>
    <row r="368" spans="8:32" x14ac:dyDescent="0.35">
      <c r="H368" s="3" t="str">
        <v>Ba</v>
      </c>
      <c r="I368" s="3" t="str">
        <v>Barium</v>
      </c>
      <c r="J368" s="3" t="str">
        <v>Gas</v>
      </c>
      <c r="K368" s="3">
        <v>179075</v>
      </c>
      <c r="L368" s="3">
        <v>170.245</v>
      </c>
      <c r="M368" s="3" t="str">
        <v/>
      </c>
      <c r="N368" s="3" t="str">
        <v/>
      </c>
      <c r="O368" s="3">
        <v>298.14999999999998</v>
      </c>
      <c r="P368" s="3">
        <v>2118.6</v>
      </c>
      <c r="Q368" s="3">
        <v>23.193527593168799</v>
      </c>
      <c r="R368" s="3">
        <v>0</v>
      </c>
      <c r="S368" s="3">
        <v>-629418.540834532</v>
      </c>
      <c r="T368" s="3">
        <v>-2</v>
      </c>
      <c r="U368" s="3">
        <v>-5.2987737578872996E-6</v>
      </c>
      <c r="V368" s="3">
        <v>2</v>
      </c>
      <c r="W368" s="3">
        <v>3.3332371953606201E-9</v>
      </c>
      <c r="X368" s="3">
        <v>3</v>
      </c>
      <c r="Y368" s="3">
        <v>134835571.665106</v>
      </c>
      <c r="Z368" s="3">
        <v>-3</v>
      </c>
      <c r="AA368" s="3">
        <v>0</v>
      </c>
      <c r="AB368" s="3">
        <v>0</v>
      </c>
      <c r="AC368" s="3">
        <v>0</v>
      </c>
      <c r="AD368" s="3">
        <v>0</v>
      </c>
      <c r="AE368" s="3">
        <v>0</v>
      </c>
      <c r="AF368" s="3">
        <v>0</v>
      </c>
    </row>
    <row r="369" spans="8:32" x14ac:dyDescent="0.35">
      <c r="H369" s="3" t="str">
        <v>Ba</v>
      </c>
      <c r="I369" s="3" t="str">
        <v>Barium</v>
      </c>
      <c r="J369" s="3" t="str">
        <v>Gas</v>
      </c>
      <c r="K369" s="3">
        <v>179075</v>
      </c>
      <c r="L369" s="3">
        <v>170.245</v>
      </c>
      <c r="M369" s="3" t="str">
        <v/>
      </c>
      <c r="N369" s="3" t="str">
        <v/>
      </c>
      <c r="O369" s="3">
        <v>2118.6</v>
      </c>
      <c r="P369" s="3">
        <v>3600</v>
      </c>
      <c r="Q369" s="3">
        <v>583.13434111250297</v>
      </c>
      <c r="R369" s="3">
        <v>0</v>
      </c>
      <c r="S369" s="3">
        <v>-6.1693854877450501E-2</v>
      </c>
      <c r="T369" s="3">
        <v>1</v>
      </c>
      <c r="U369" s="3">
        <v>1123707345.8013599</v>
      </c>
      <c r="V369" s="3">
        <v>-2</v>
      </c>
      <c r="W369" s="3">
        <v>-1423282.7511938901</v>
      </c>
      <c r="X369" s="3">
        <v>-1</v>
      </c>
      <c r="Y369" s="3">
        <v>0</v>
      </c>
      <c r="Z369" s="3">
        <v>0</v>
      </c>
      <c r="AA369" s="3">
        <v>0</v>
      </c>
      <c r="AB369" s="3">
        <v>0</v>
      </c>
      <c r="AC369" s="3">
        <v>0</v>
      </c>
      <c r="AD369" s="3">
        <v>0</v>
      </c>
      <c r="AE369" s="3">
        <v>0</v>
      </c>
      <c r="AF369" s="3">
        <v>0</v>
      </c>
    </row>
    <row r="370" spans="8:32" x14ac:dyDescent="0.35">
      <c r="H370" s="3" t="str">
        <v>Ba</v>
      </c>
      <c r="I370" s="3" t="str">
        <v>Barium</v>
      </c>
      <c r="J370" s="3" t="str">
        <v>Gas</v>
      </c>
      <c r="K370" s="3">
        <v>179075</v>
      </c>
      <c r="L370" s="3">
        <v>170.245</v>
      </c>
      <c r="M370" s="3" t="str">
        <v/>
      </c>
      <c r="N370" s="3" t="str">
        <v/>
      </c>
      <c r="O370" s="3">
        <v>3600</v>
      </c>
      <c r="P370" s="3">
        <v>6000</v>
      </c>
      <c r="Q370" s="3">
        <v>3193.4616697933202</v>
      </c>
      <c r="R370" s="3">
        <v>0</v>
      </c>
      <c r="S370" s="3">
        <v>-6.4994765145337502E-2</v>
      </c>
      <c r="T370" s="3">
        <v>1</v>
      </c>
      <c r="U370" s="3">
        <v>-9781576705.3136101</v>
      </c>
      <c r="V370" s="3">
        <v>-2</v>
      </c>
      <c r="W370" s="3">
        <v>-410659.594340207</v>
      </c>
      <c r="X370" s="3">
        <v>-0.5</v>
      </c>
      <c r="Y370" s="3">
        <v>16891139.8927936</v>
      </c>
      <c r="Z370" s="3">
        <v>-1</v>
      </c>
      <c r="AA370" s="3">
        <v>0</v>
      </c>
      <c r="AB370" s="3">
        <v>0</v>
      </c>
      <c r="AC370" s="3">
        <v>0</v>
      </c>
      <c r="AD370" s="3">
        <v>0</v>
      </c>
      <c r="AE370" s="3">
        <v>0</v>
      </c>
      <c r="AF370" s="3">
        <v>0</v>
      </c>
    </row>
    <row r="371" spans="8:32" x14ac:dyDescent="0.35">
      <c r="H371" s="3" t="str">
        <v>La</v>
      </c>
      <c r="I371" s="3" t="str">
        <v>La</v>
      </c>
      <c r="J371" s="3" t="str">
        <v>DHCP</v>
      </c>
      <c r="K371" s="3">
        <v>-3.5044778815063199E-4</v>
      </c>
      <c r="L371" s="3">
        <v>56.902400377590098</v>
      </c>
      <c r="M371" s="3" t="str">
        <v/>
      </c>
      <c r="N371" s="3" t="str">
        <v/>
      </c>
      <c r="O371" s="3">
        <v>298.14999999999998</v>
      </c>
      <c r="P371" s="3">
        <v>550</v>
      </c>
      <c r="Q371" s="3">
        <v>26.34</v>
      </c>
      <c r="R371" s="3">
        <v>0</v>
      </c>
      <c r="S371" s="3">
        <v>2.5903300000000001E-3</v>
      </c>
      <c r="T371" s="3">
        <v>1</v>
      </c>
      <c r="U371" s="3">
        <v>0</v>
      </c>
      <c r="V371" s="3">
        <v>0</v>
      </c>
      <c r="W371" s="3">
        <v>0</v>
      </c>
      <c r="X371" s="3">
        <v>0</v>
      </c>
      <c r="Y371" s="3">
        <v>0</v>
      </c>
      <c r="Z371" s="3">
        <v>0</v>
      </c>
      <c r="AA371" s="3">
        <v>0</v>
      </c>
      <c r="AB371" s="3">
        <v>0</v>
      </c>
      <c r="AC371" s="3">
        <v>0</v>
      </c>
      <c r="AD371" s="3">
        <v>0</v>
      </c>
      <c r="AE371" s="3">
        <v>0</v>
      </c>
      <c r="AF371" s="3">
        <v>0</v>
      </c>
    </row>
    <row r="372" spans="8:32" x14ac:dyDescent="0.35">
      <c r="H372" s="3" t="str">
        <v>La</v>
      </c>
      <c r="I372" s="3" t="str">
        <v>La</v>
      </c>
      <c r="J372" s="3" t="str">
        <v>DHCP</v>
      </c>
      <c r="K372" s="3">
        <v>-3.5044778815063199E-4</v>
      </c>
      <c r="L372" s="3">
        <v>56.902400377590098</v>
      </c>
      <c r="M372" s="3" t="str">
        <v/>
      </c>
      <c r="N372" s="3" t="str">
        <v/>
      </c>
      <c r="O372" s="3">
        <v>550</v>
      </c>
      <c r="P372" s="3">
        <v>2000</v>
      </c>
      <c r="Q372" s="3">
        <v>17.165941100000001</v>
      </c>
      <c r="R372" s="3">
        <v>0</v>
      </c>
      <c r="S372" s="3">
        <v>1.674341E-2</v>
      </c>
      <c r="T372" s="3">
        <v>1</v>
      </c>
      <c r="U372" s="3">
        <v>-4.1359200000000002E-6</v>
      </c>
      <c r="V372" s="3">
        <v>2</v>
      </c>
      <c r="W372" s="3">
        <v>798896</v>
      </c>
      <c r="X372" s="3">
        <v>-2</v>
      </c>
      <c r="Y372" s="3">
        <v>0</v>
      </c>
      <c r="Z372" s="3">
        <v>0</v>
      </c>
      <c r="AA372" s="3">
        <v>0</v>
      </c>
      <c r="AB372" s="3">
        <v>0</v>
      </c>
      <c r="AC372" s="3">
        <v>0</v>
      </c>
      <c r="AD372" s="3">
        <v>0</v>
      </c>
      <c r="AE372" s="3">
        <v>0</v>
      </c>
      <c r="AF372" s="3">
        <v>0</v>
      </c>
    </row>
    <row r="373" spans="8:32" x14ac:dyDescent="0.35">
      <c r="H373" s="3" t="str">
        <v>La</v>
      </c>
      <c r="I373" s="3" t="str">
        <v>La</v>
      </c>
      <c r="J373" s="3" t="str">
        <v>DHCP</v>
      </c>
      <c r="K373" s="3">
        <v>-3.5044778815063199E-4</v>
      </c>
      <c r="L373" s="3">
        <v>56.902400377590098</v>
      </c>
      <c r="M373" s="3" t="str">
        <v/>
      </c>
      <c r="N373" s="3" t="str">
        <v/>
      </c>
      <c r="O373" s="3">
        <v>2000</v>
      </c>
      <c r="P373" s="3">
        <v>4000</v>
      </c>
      <c r="Q373" s="3">
        <v>34.308799999999998</v>
      </c>
      <c r="R373" s="3">
        <v>0</v>
      </c>
      <c r="S373" s="3">
        <v>0</v>
      </c>
      <c r="T373" s="3">
        <v>0</v>
      </c>
      <c r="U373" s="3">
        <v>0</v>
      </c>
      <c r="V373" s="3">
        <v>0</v>
      </c>
      <c r="W373" s="3">
        <v>0</v>
      </c>
      <c r="X373" s="3">
        <v>0</v>
      </c>
      <c r="Y373" s="3">
        <v>0</v>
      </c>
      <c r="Z373" s="3">
        <v>0</v>
      </c>
      <c r="AA373" s="3">
        <v>0</v>
      </c>
      <c r="AB373" s="3">
        <v>0</v>
      </c>
      <c r="AC373" s="3">
        <v>0</v>
      </c>
      <c r="AD373" s="3">
        <v>0</v>
      </c>
      <c r="AE373" s="3">
        <v>0</v>
      </c>
      <c r="AF373" s="3">
        <v>0</v>
      </c>
    </row>
    <row r="374" spans="8:32" x14ac:dyDescent="0.35">
      <c r="H374" s="3" t="str">
        <v>La</v>
      </c>
      <c r="I374" s="3" t="str">
        <v>La</v>
      </c>
      <c r="J374" s="3" t="str">
        <v>FCC_A1</v>
      </c>
      <c r="K374" s="3">
        <v>774.92203915861</v>
      </c>
      <c r="L374" s="3">
        <v>58.626972537379103</v>
      </c>
      <c r="M374" s="3" t="str">
        <v/>
      </c>
      <c r="N374" s="3" t="str">
        <v/>
      </c>
      <c r="O374" s="3">
        <v>298.14999999999998</v>
      </c>
      <c r="P374" s="3">
        <v>1134</v>
      </c>
      <c r="Q374" s="3">
        <v>21.791899999999998</v>
      </c>
      <c r="R374" s="3">
        <v>0</v>
      </c>
      <c r="S374" s="3">
        <v>8.0903499999999996E-3</v>
      </c>
      <c r="T374" s="3">
        <v>1</v>
      </c>
      <c r="U374" s="3">
        <v>3.15519E-6</v>
      </c>
      <c r="V374" s="3">
        <v>2</v>
      </c>
      <c r="W374" s="3">
        <v>0</v>
      </c>
      <c r="X374" s="3">
        <v>0</v>
      </c>
      <c r="Y374" s="3">
        <v>0</v>
      </c>
      <c r="Z374" s="3">
        <v>0</v>
      </c>
      <c r="AA374" s="3">
        <v>0</v>
      </c>
      <c r="AB374" s="3">
        <v>0</v>
      </c>
      <c r="AC374" s="3">
        <v>0</v>
      </c>
      <c r="AD374" s="3">
        <v>0</v>
      </c>
      <c r="AE374" s="3">
        <v>0</v>
      </c>
      <c r="AF374" s="3">
        <v>0</v>
      </c>
    </row>
    <row r="375" spans="8:32" x14ac:dyDescent="0.35">
      <c r="H375" s="3" t="str">
        <v>La</v>
      </c>
      <c r="I375" s="3" t="str">
        <v>La</v>
      </c>
      <c r="J375" s="3" t="str">
        <v>FCC_A1</v>
      </c>
      <c r="K375" s="3">
        <v>774.92203915861</v>
      </c>
      <c r="L375" s="3">
        <v>58.626972537379103</v>
      </c>
      <c r="M375" s="3" t="str">
        <v/>
      </c>
      <c r="N375" s="3" t="str">
        <v/>
      </c>
      <c r="O375" s="3">
        <v>1134</v>
      </c>
      <c r="P375" s="3">
        <v>2000</v>
      </c>
      <c r="Q375" s="3">
        <v>139.3467411</v>
      </c>
      <c r="R375" s="3">
        <v>0</v>
      </c>
      <c r="S375" s="3">
        <v>-8.4064810000000004E-2</v>
      </c>
      <c r="T375" s="3">
        <v>1</v>
      </c>
      <c r="U375" s="3">
        <v>1.8397194000000001E-5</v>
      </c>
      <c r="V375" s="3">
        <v>2</v>
      </c>
      <c r="W375" s="3">
        <v>-41988306</v>
      </c>
      <c r="X375" s="3">
        <v>-2</v>
      </c>
      <c r="Y375" s="3">
        <v>0</v>
      </c>
      <c r="Z375" s="3">
        <v>0</v>
      </c>
      <c r="AA375" s="3">
        <v>0</v>
      </c>
      <c r="AB375" s="3">
        <v>0</v>
      </c>
      <c r="AC375" s="3">
        <v>0</v>
      </c>
      <c r="AD375" s="3">
        <v>0</v>
      </c>
      <c r="AE375" s="3">
        <v>0</v>
      </c>
      <c r="AF375" s="3">
        <v>0</v>
      </c>
    </row>
    <row r="376" spans="8:32" x14ac:dyDescent="0.35">
      <c r="H376" s="3" t="str">
        <v>La</v>
      </c>
      <c r="I376" s="3" t="str">
        <v>La</v>
      </c>
      <c r="J376" s="3" t="str">
        <v>FCC_A1</v>
      </c>
      <c r="K376" s="3">
        <v>774.92203915861</v>
      </c>
      <c r="L376" s="3">
        <v>58.626972537379103</v>
      </c>
      <c r="M376" s="3" t="str">
        <v/>
      </c>
      <c r="N376" s="3" t="str">
        <v/>
      </c>
      <c r="O376" s="3">
        <v>2000</v>
      </c>
      <c r="P376" s="3">
        <v>4000</v>
      </c>
      <c r="Q376" s="3">
        <v>34.308799999999998</v>
      </c>
      <c r="R376" s="3">
        <v>0</v>
      </c>
      <c r="S376" s="3">
        <v>0</v>
      </c>
      <c r="T376" s="3">
        <v>0</v>
      </c>
      <c r="U376" s="3">
        <v>0</v>
      </c>
      <c r="V376" s="3">
        <v>0</v>
      </c>
      <c r="W376" s="3">
        <v>0</v>
      </c>
      <c r="X376" s="3">
        <v>0</v>
      </c>
      <c r="Y376" s="3">
        <v>0</v>
      </c>
      <c r="Z376" s="3">
        <v>0</v>
      </c>
      <c r="AA376" s="3">
        <v>0</v>
      </c>
      <c r="AB376" s="3">
        <v>0</v>
      </c>
      <c r="AC376" s="3">
        <v>0</v>
      </c>
      <c r="AD376" s="3">
        <v>0</v>
      </c>
      <c r="AE376" s="3">
        <v>0</v>
      </c>
      <c r="AF376" s="3">
        <v>0</v>
      </c>
    </row>
    <row r="377" spans="8:32" x14ac:dyDescent="0.35">
      <c r="H377" s="3" t="str">
        <v>La</v>
      </c>
      <c r="I377" s="3" t="str">
        <v>La</v>
      </c>
      <c r="J377" s="3" t="str">
        <v>BCC_A2</v>
      </c>
      <c r="K377" s="3">
        <v>2932.55803915861</v>
      </c>
      <c r="L377" s="3">
        <v>60.433380537379101</v>
      </c>
      <c r="M377" s="3" t="str">
        <v/>
      </c>
      <c r="N377" s="3" t="str">
        <v/>
      </c>
      <c r="O377" s="3">
        <v>298.14999999999998</v>
      </c>
      <c r="P377" s="3">
        <v>800</v>
      </c>
      <c r="Q377" s="3">
        <v>21.791899999999998</v>
      </c>
      <c r="R377" s="3">
        <v>0</v>
      </c>
      <c r="S377" s="3">
        <v>8.0903499999999996E-3</v>
      </c>
      <c r="T377" s="3">
        <v>1</v>
      </c>
      <c r="U377" s="3">
        <v>3.15519E-6</v>
      </c>
      <c r="V377" s="3">
        <v>2</v>
      </c>
      <c r="W377" s="3">
        <v>0</v>
      </c>
      <c r="X377" s="3">
        <v>0</v>
      </c>
      <c r="Y377" s="3">
        <v>0</v>
      </c>
      <c r="Z377" s="3">
        <v>0</v>
      </c>
      <c r="AA377" s="3">
        <v>0</v>
      </c>
      <c r="AB377" s="3">
        <v>0</v>
      </c>
      <c r="AC377" s="3">
        <v>0</v>
      </c>
      <c r="AD377" s="3">
        <v>0</v>
      </c>
      <c r="AE377" s="3">
        <v>0</v>
      </c>
      <c r="AF377" s="3">
        <v>0</v>
      </c>
    </row>
    <row r="378" spans="8:32" x14ac:dyDescent="0.35">
      <c r="H378" s="3" t="str">
        <v>La</v>
      </c>
      <c r="I378" s="3" t="str">
        <v>La</v>
      </c>
      <c r="J378" s="3" t="str">
        <v>BCC_A2</v>
      </c>
      <c r="K378" s="3">
        <v>2932.55803915861</v>
      </c>
      <c r="L378" s="3">
        <v>60.433380537379101</v>
      </c>
      <c r="M378" s="3" t="str">
        <v/>
      </c>
      <c r="N378" s="3" t="str">
        <v/>
      </c>
      <c r="O378" s="3">
        <v>800</v>
      </c>
      <c r="P378" s="3">
        <v>1134</v>
      </c>
      <c r="Q378" s="3">
        <v>-513.44070769999996</v>
      </c>
      <c r="R378" s="3">
        <v>0</v>
      </c>
      <c r="S378" s="3">
        <v>0.77459018599999996</v>
      </c>
      <c r="T378" s="3">
        <v>1</v>
      </c>
      <c r="U378" s="3">
        <v>-2.9728793399999998E-4</v>
      </c>
      <c r="V378" s="3">
        <v>2</v>
      </c>
      <c r="W378" s="3">
        <v>73162456</v>
      </c>
      <c r="X378" s="3">
        <v>-2</v>
      </c>
      <c r="Y378" s="3">
        <v>0</v>
      </c>
      <c r="Z378" s="3">
        <v>0</v>
      </c>
      <c r="AA378" s="3">
        <v>0</v>
      </c>
      <c r="AB378" s="3">
        <v>0</v>
      </c>
      <c r="AC378" s="3">
        <v>0</v>
      </c>
      <c r="AD378" s="3">
        <v>0</v>
      </c>
      <c r="AE378" s="3">
        <v>0</v>
      </c>
      <c r="AF378" s="3">
        <v>0</v>
      </c>
    </row>
    <row r="379" spans="8:32" x14ac:dyDescent="0.35">
      <c r="H379" s="3" t="str">
        <v>La</v>
      </c>
      <c r="I379" s="3" t="str">
        <v>La</v>
      </c>
      <c r="J379" s="3" t="str">
        <v>BCC_A2</v>
      </c>
      <c r="K379" s="3">
        <v>2932.55803915861</v>
      </c>
      <c r="L379" s="3">
        <v>60.433380537379101</v>
      </c>
      <c r="M379" s="3" t="str">
        <v/>
      </c>
      <c r="N379" s="3" t="str">
        <v/>
      </c>
      <c r="O379" s="3">
        <v>1134</v>
      </c>
      <c r="P379" s="3">
        <v>1193</v>
      </c>
      <c r="Q379" s="3">
        <v>39.538800000000002</v>
      </c>
      <c r="R379" s="3">
        <v>0</v>
      </c>
      <c r="S379" s="3">
        <v>0</v>
      </c>
      <c r="T379" s="3">
        <v>0</v>
      </c>
      <c r="U379" s="3">
        <v>0</v>
      </c>
      <c r="V379" s="3">
        <v>0</v>
      </c>
      <c r="W379" s="3">
        <v>0</v>
      </c>
      <c r="X379" s="3">
        <v>0</v>
      </c>
      <c r="Y379" s="3">
        <v>0</v>
      </c>
      <c r="Z379" s="3">
        <v>0</v>
      </c>
      <c r="AA379" s="3">
        <v>0</v>
      </c>
      <c r="AB379" s="3">
        <v>0</v>
      </c>
      <c r="AC379" s="3">
        <v>0</v>
      </c>
      <c r="AD379" s="3">
        <v>0</v>
      </c>
      <c r="AE379" s="3">
        <v>0</v>
      </c>
      <c r="AF379" s="3">
        <v>0</v>
      </c>
    </row>
    <row r="380" spans="8:32" x14ac:dyDescent="0.35">
      <c r="H380" s="3" t="str">
        <v>La</v>
      </c>
      <c r="I380" s="3" t="str">
        <v>La</v>
      </c>
      <c r="J380" s="3" t="str">
        <v>BCC_A2</v>
      </c>
      <c r="K380" s="3">
        <v>2932.55803915861</v>
      </c>
      <c r="L380" s="3">
        <v>60.433380537379101</v>
      </c>
      <c r="M380" s="3" t="str">
        <v/>
      </c>
      <c r="N380" s="3" t="str">
        <v/>
      </c>
      <c r="O380" s="3">
        <v>1193</v>
      </c>
      <c r="P380" s="3">
        <v>2000</v>
      </c>
      <c r="Q380" s="3">
        <v>163.41307380000001</v>
      </c>
      <c r="R380" s="3">
        <v>0</v>
      </c>
      <c r="S380" s="3">
        <v>-0.10793707</v>
      </c>
      <c r="T380" s="3">
        <v>1</v>
      </c>
      <c r="U380" s="3">
        <v>2.4338369999999999E-5</v>
      </c>
      <c r="V380" s="3">
        <v>2</v>
      </c>
      <c r="W380" s="3">
        <v>-42334408</v>
      </c>
      <c r="X380" s="3">
        <v>-2</v>
      </c>
      <c r="Y380" s="3">
        <v>0</v>
      </c>
      <c r="Z380" s="3">
        <v>0</v>
      </c>
      <c r="AA380" s="3">
        <v>0</v>
      </c>
      <c r="AB380" s="3">
        <v>0</v>
      </c>
      <c r="AC380" s="3">
        <v>0</v>
      </c>
      <c r="AD380" s="3">
        <v>0</v>
      </c>
      <c r="AE380" s="3">
        <v>0</v>
      </c>
      <c r="AF380" s="3">
        <v>0</v>
      </c>
    </row>
    <row r="381" spans="8:32" x14ac:dyDescent="0.35">
      <c r="H381" s="3" t="str">
        <v>La</v>
      </c>
      <c r="I381" s="3" t="str">
        <v>La</v>
      </c>
      <c r="J381" s="3" t="str">
        <v>BCC_A2</v>
      </c>
      <c r="K381" s="3">
        <v>2932.55803915861</v>
      </c>
      <c r="L381" s="3">
        <v>60.433380537379101</v>
      </c>
      <c r="M381" s="3" t="str">
        <v/>
      </c>
      <c r="N381" s="3" t="str">
        <v/>
      </c>
      <c r="O381" s="3">
        <v>2000</v>
      </c>
      <c r="P381" s="3">
        <v>4000</v>
      </c>
      <c r="Q381" s="3">
        <v>34.308799999999998</v>
      </c>
      <c r="R381" s="3">
        <v>0</v>
      </c>
      <c r="S381" s="3">
        <v>0</v>
      </c>
      <c r="T381" s="3">
        <v>0</v>
      </c>
      <c r="U381" s="3">
        <v>0</v>
      </c>
      <c r="V381" s="3">
        <v>0</v>
      </c>
      <c r="W381" s="3">
        <v>0</v>
      </c>
      <c r="X381" s="3">
        <v>0</v>
      </c>
      <c r="Y381" s="3">
        <v>0</v>
      </c>
      <c r="Z381" s="3">
        <v>0</v>
      </c>
      <c r="AA381" s="3">
        <v>0</v>
      </c>
      <c r="AB381" s="3">
        <v>0</v>
      </c>
      <c r="AC381" s="3">
        <v>0</v>
      </c>
      <c r="AD381" s="3">
        <v>0</v>
      </c>
      <c r="AE381" s="3">
        <v>0</v>
      </c>
      <c r="AF381" s="3">
        <v>0</v>
      </c>
    </row>
    <row r="382" spans="8:32" x14ac:dyDescent="0.35">
      <c r="H382" s="3" t="str">
        <v>La</v>
      </c>
      <c r="I382" s="3" t="str">
        <v>La</v>
      </c>
      <c r="J382" s="3" t="str">
        <v>LIQUID</v>
      </c>
      <c r="K382" s="3">
        <v>9359.51757668151</v>
      </c>
      <c r="L382" s="3">
        <v>65.312113896597594</v>
      </c>
      <c r="M382" s="3" t="str">
        <v/>
      </c>
      <c r="N382" s="3" t="str">
        <v/>
      </c>
      <c r="O382" s="3">
        <v>298.14999999999998</v>
      </c>
      <c r="P382" s="3">
        <v>1134</v>
      </c>
      <c r="Q382" s="3">
        <v>11.0188191</v>
      </c>
      <c r="R382" s="3">
        <v>0</v>
      </c>
      <c r="S382" s="3">
        <v>4.0343206E-2</v>
      </c>
      <c r="T382" s="3">
        <v>1</v>
      </c>
      <c r="U382" s="3">
        <v>-1.7626500000000001E-5</v>
      </c>
      <c r="V382" s="3">
        <v>2</v>
      </c>
      <c r="W382" s="3">
        <v>267082</v>
      </c>
      <c r="X382" s="3">
        <v>-2</v>
      </c>
      <c r="Y382" s="3">
        <v>0</v>
      </c>
      <c r="Z382" s="3">
        <v>0</v>
      </c>
      <c r="AA382" s="3">
        <v>0</v>
      </c>
      <c r="AB382" s="3">
        <v>0</v>
      </c>
      <c r="AC382" s="3">
        <v>0</v>
      </c>
      <c r="AD382" s="3">
        <v>0</v>
      </c>
      <c r="AE382" s="3">
        <v>0</v>
      </c>
      <c r="AF382" s="3">
        <v>0</v>
      </c>
    </row>
    <row r="383" spans="8:32" x14ac:dyDescent="0.35">
      <c r="H383" s="3" t="str">
        <v>La</v>
      </c>
      <c r="I383" s="3" t="str">
        <v>La</v>
      </c>
      <c r="J383" s="3" t="str">
        <v>LIQUID</v>
      </c>
      <c r="K383" s="3">
        <v>9359.51757668151</v>
      </c>
      <c r="L383" s="3">
        <v>65.312113896597594</v>
      </c>
      <c r="M383" s="3" t="str">
        <v/>
      </c>
      <c r="N383" s="3" t="str">
        <v/>
      </c>
      <c r="O383" s="3">
        <v>1134</v>
      </c>
      <c r="P383" s="3">
        <v>4000</v>
      </c>
      <c r="Q383" s="3">
        <v>34.308799999999998</v>
      </c>
      <c r="R383" s="3">
        <v>0</v>
      </c>
      <c r="S383" s="3">
        <v>0</v>
      </c>
      <c r="T383" s="3">
        <v>0</v>
      </c>
      <c r="U383" s="3">
        <v>0</v>
      </c>
      <c r="V383" s="3">
        <v>0</v>
      </c>
      <c r="W383" s="3">
        <v>0</v>
      </c>
      <c r="X383" s="3">
        <v>0</v>
      </c>
      <c r="Y383" s="3">
        <v>0</v>
      </c>
      <c r="Z383" s="3">
        <v>0</v>
      </c>
      <c r="AA383" s="3">
        <v>0</v>
      </c>
      <c r="AB383" s="3">
        <v>0</v>
      </c>
      <c r="AC383" s="3">
        <v>0</v>
      </c>
      <c r="AD383" s="3">
        <v>0</v>
      </c>
      <c r="AE383" s="3">
        <v>0</v>
      </c>
      <c r="AF383" s="3">
        <v>0</v>
      </c>
    </row>
    <row r="384" spans="8:32" x14ac:dyDescent="0.35">
      <c r="H384" s="3" t="str">
        <v>Ce</v>
      </c>
      <c r="I384" s="3" t="str">
        <v>Cerium</v>
      </c>
      <c r="J384" s="3" t="str">
        <v>Beta</v>
      </c>
      <c r="K384" s="3">
        <v>0</v>
      </c>
      <c r="L384" s="3">
        <v>69.454400000000007</v>
      </c>
      <c r="M384" s="3" t="str">
        <v/>
      </c>
      <c r="N384" s="3" t="str">
        <v/>
      </c>
      <c r="O384" s="3">
        <v>298</v>
      </c>
      <c r="P384" s="3">
        <v>600</v>
      </c>
      <c r="Q384" s="3">
        <v>5.42</v>
      </c>
      <c r="R384" s="3">
        <v>0</v>
      </c>
      <c r="S384" s="3">
        <v>3.3809999999999999E-3</v>
      </c>
      <c r="T384" s="3">
        <v>1</v>
      </c>
      <c r="U384" s="3">
        <v>0</v>
      </c>
      <c r="V384" s="3">
        <v>0</v>
      </c>
      <c r="W384" s="3">
        <v>0</v>
      </c>
      <c r="X384" s="3">
        <v>0</v>
      </c>
      <c r="Y384" s="3">
        <v>0</v>
      </c>
      <c r="Z384" s="3">
        <v>0</v>
      </c>
      <c r="AA384" s="3">
        <v>0</v>
      </c>
      <c r="AB384" s="3">
        <v>0</v>
      </c>
      <c r="AC384" s="3">
        <v>0</v>
      </c>
      <c r="AD384" s="3">
        <v>0</v>
      </c>
      <c r="AE384" s="3">
        <v>0</v>
      </c>
      <c r="AF384" s="3">
        <v>0</v>
      </c>
    </row>
    <row r="385" spans="8:32" x14ac:dyDescent="0.35">
      <c r="H385" s="3" t="str">
        <v>Ce</v>
      </c>
      <c r="I385" s="3" t="str">
        <v>Cerium</v>
      </c>
      <c r="J385" s="3" t="str">
        <v>Beta</v>
      </c>
      <c r="K385" s="3">
        <v>0</v>
      </c>
      <c r="L385" s="3">
        <v>69.454400000000007</v>
      </c>
      <c r="M385" s="3" t="str">
        <v/>
      </c>
      <c r="N385" s="3" t="str">
        <v/>
      </c>
      <c r="O385" s="3">
        <v>600</v>
      </c>
      <c r="P385" s="3">
        <v>999</v>
      </c>
      <c r="Q385" s="3">
        <v>5.0990000000000002</v>
      </c>
      <c r="R385" s="3">
        <v>0</v>
      </c>
      <c r="S385" s="3">
        <v>3.9179999999999996E-3</v>
      </c>
      <c r="T385" s="3">
        <v>1</v>
      </c>
      <c r="U385" s="3">
        <v>0</v>
      </c>
      <c r="V385" s="3">
        <v>0</v>
      </c>
      <c r="W385" s="3">
        <v>0</v>
      </c>
      <c r="X385" s="3">
        <v>0</v>
      </c>
      <c r="Y385" s="3">
        <v>0</v>
      </c>
      <c r="Z385" s="3">
        <v>0</v>
      </c>
      <c r="AA385" s="3">
        <v>0</v>
      </c>
      <c r="AB385" s="3">
        <v>0</v>
      </c>
      <c r="AC385" s="3">
        <v>0</v>
      </c>
      <c r="AD385" s="3">
        <v>0</v>
      </c>
      <c r="AE385" s="3">
        <v>0</v>
      </c>
      <c r="AF385" s="3">
        <v>0</v>
      </c>
    </row>
    <row r="386" spans="8:32" x14ac:dyDescent="0.35">
      <c r="H386" s="3" t="str">
        <v>Ce</v>
      </c>
      <c r="I386" s="3" t="str">
        <v>Cerium</v>
      </c>
      <c r="J386" s="3" t="str">
        <v>Gamma</v>
      </c>
      <c r="K386" s="3" t="str">
        <v/>
      </c>
      <c r="L386" s="3" t="str">
        <v/>
      </c>
      <c r="M386" s="3">
        <v>2991.56</v>
      </c>
      <c r="N386" s="3">
        <v>999</v>
      </c>
      <c r="O386" s="3">
        <v>999</v>
      </c>
      <c r="P386" s="3">
        <v>1071</v>
      </c>
      <c r="Q386" s="3">
        <v>8.99</v>
      </c>
      <c r="R386" s="3">
        <v>0</v>
      </c>
      <c r="S386" s="3">
        <v>0</v>
      </c>
      <c r="T386" s="3">
        <v>0</v>
      </c>
      <c r="U386" s="3">
        <v>0</v>
      </c>
      <c r="V386" s="3">
        <v>0</v>
      </c>
      <c r="W386" s="3">
        <v>0</v>
      </c>
      <c r="X386" s="3">
        <v>0</v>
      </c>
      <c r="Y386" s="3">
        <v>0</v>
      </c>
      <c r="Z386" s="3">
        <v>0</v>
      </c>
      <c r="AA386" s="3">
        <v>0</v>
      </c>
      <c r="AB386" s="3">
        <v>0</v>
      </c>
      <c r="AC386" s="3">
        <v>0</v>
      </c>
      <c r="AD386" s="3">
        <v>0</v>
      </c>
      <c r="AE386" s="3">
        <v>0</v>
      </c>
      <c r="AF386" s="3">
        <v>0</v>
      </c>
    </row>
    <row r="387" spans="8:32" x14ac:dyDescent="0.35">
      <c r="H387" s="3" t="str">
        <v>Ce</v>
      </c>
      <c r="I387" s="3" t="str">
        <v>Cerium</v>
      </c>
      <c r="J387" s="3" t="str">
        <v>Liquid</v>
      </c>
      <c r="K387" s="3" t="str">
        <v/>
      </c>
      <c r="L387" s="3" t="str">
        <v/>
      </c>
      <c r="M387" s="3">
        <v>5460.12</v>
      </c>
      <c r="N387" s="3">
        <v>1071</v>
      </c>
      <c r="O387" s="3">
        <v>1071</v>
      </c>
      <c r="P387" s="3">
        <v>3000</v>
      </c>
      <c r="Q387" s="3">
        <v>9.01</v>
      </c>
      <c r="R387" s="3">
        <v>0</v>
      </c>
      <c r="S387" s="3">
        <v>0</v>
      </c>
      <c r="T387" s="3">
        <v>0</v>
      </c>
      <c r="U387" s="3">
        <v>0</v>
      </c>
      <c r="V387" s="3">
        <v>0</v>
      </c>
      <c r="W387" s="3">
        <v>0</v>
      </c>
      <c r="X387" s="3">
        <v>0</v>
      </c>
      <c r="Y387" s="3">
        <v>0</v>
      </c>
      <c r="Z387" s="3">
        <v>0</v>
      </c>
      <c r="AA387" s="3">
        <v>0</v>
      </c>
      <c r="AB387" s="3">
        <v>0</v>
      </c>
      <c r="AC387" s="3">
        <v>0</v>
      </c>
      <c r="AD387" s="3">
        <v>0</v>
      </c>
      <c r="AE387" s="3">
        <v>0</v>
      </c>
      <c r="AF387" s="3">
        <v>0</v>
      </c>
    </row>
    <row r="388" spans="8:32" x14ac:dyDescent="0.35">
      <c r="H388" s="3" t="str">
        <v>Ce</v>
      </c>
      <c r="I388" s="3" t="str">
        <v>Cerium</v>
      </c>
      <c r="J388" s="3" t="str">
        <v>Gas</v>
      </c>
      <c r="K388" s="3" t="str">
        <v/>
      </c>
      <c r="L388" s="3" t="str">
        <v/>
      </c>
      <c r="M388" s="3">
        <v>414174.16000000003</v>
      </c>
      <c r="N388" s="3">
        <v>3699</v>
      </c>
      <c r="O388" s="3">
        <v>3000</v>
      </c>
      <c r="P388" s="3">
        <v>3750</v>
      </c>
      <c r="Q388" s="3">
        <v>4.97</v>
      </c>
      <c r="R388" s="3">
        <v>0</v>
      </c>
      <c r="S388" s="3">
        <v>0</v>
      </c>
      <c r="T388" s="3">
        <v>0</v>
      </c>
      <c r="U388" s="3">
        <v>0</v>
      </c>
      <c r="V388" s="3">
        <v>0</v>
      </c>
      <c r="W388" s="3">
        <v>0</v>
      </c>
      <c r="X388" s="3">
        <v>0</v>
      </c>
      <c r="Y388" s="3">
        <v>0</v>
      </c>
      <c r="Z388" s="3">
        <v>0</v>
      </c>
      <c r="AA388" s="3">
        <v>0</v>
      </c>
      <c r="AB388" s="3">
        <v>0</v>
      </c>
      <c r="AC388" s="3">
        <v>0</v>
      </c>
      <c r="AD388" s="3">
        <v>0</v>
      </c>
      <c r="AE388" s="3">
        <v>0</v>
      </c>
      <c r="AF388" s="3">
        <v>0</v>
      </c>
    </row>
    <row r="389" spans="8:32" x14ac:dyDescent="0.35">
      <c r="H389" s="3" t="str">
        <v>Pr</v>
      </c>
      <c r="I389" s="3" t="str">
        <v>Praseodymium</v>
      </c>
      <c r="J389" s="3" t="str">
        <v>Solid-A</v>
      </c>
      <c r="K389" s="3">
        <v>0</v>
      </c>
      <c r="L389" s="3">
        <v>73.931280000000015</v>
      </c>
      <c r="M389" s="3" t="str">
        <v/>
      </c>
      <c r="N389" s="3" t="str">
        <v/>
      </c>
      <c r="O389" s="3">
        <v>298</v>
      </c>
      <c r="P389" s="3">
        <v>700</v>
      </c>
      <c r="Q389" s="3">
        <v>4.4050000000000002</v>
      </c>
      <c r="R389" s="3">
        <v>0</v>
      </c>
      <c r="S389" s="3">
        <v>4.9410000000000001E-3</v>
      </c>
      <c r="T389" s="3">
        <v>1</v>
      </c>
      <c r="U389" s="3">
        <v>61200</v>
      </c>
      <c r="V389" s="3">
        <v>-2</v>
      </c>
      <c r="W389" s="3">
        <v>0</v>
      </c>
      <c r="X389" s="3">
        <v>0</v>
      </c>
      <c r="Y389" s="3">
        <v>0</v>
      </c>
      <c r="Z389" s="3">
        <v>0</v>
      </c>
      <c r="AA389" s="3">
        <v>0</v>
      </c>
      <c r="AB389" s="3">
        <v>0</v>
      </c>
      <c r="AC389" s="3">
        <v>0</v>
      </c>
      <c r="AD389" s="3">
        <v>0</v>
      </c>
      <c r="AE389" s="3">
        <v>0</v>
      </c>
      <c r="AF389" s="3">
        <v>0</v>
      </c>
    </row>
    <row r="390" spans="8:32" x14ac:dyDescent="0.35">
      <c r="H390" s="3" t="str">
        <v>Pr</v>
      </c>
      <c r="I390" s="3" t="str">
        <v>Praseodymium</v>
      </c>
      <c r="J390" s="3" t="str">
        <v>Solid-A</v>
      </c>
      <c r="K390" s="3">
        <v>0</v>
      </c>
      <c r="L390" s="3">
        <v>73.931280000000015</v>
      </c>
      <c r="M390" s="3" t="str">
        <v/>
      </c>
      <c r="N390" s="3" t="str">
        <v/>
      </c>
      <c r="O390" s="3">
        <v>700</v>
      </c>
      <c r="P390" s="3">
        <v>1068</v>
      </c>
      <c r="Q390" s="3">
        <v>4.1059999999999999</v>
      </c>
      <c r="R390" s="3">
        <v>0</v>
      </c>
      <c r="S390" s="3">
        <v>5.5209999999999999E-3</v>
      </c>
      <c r="T390" s="3">
        <v>1</v>
      </c>
      <c r="U390" s="3">
        <v>0</v>
      </c>
      <c r="V390" s="3">
        <v>0</v>
      </c>
      <c r="W390" s="3">
        <v>0</v>
      </c>
      <c r="X390" s="3">
        <v>0</v>
      </c>
      <c r="Y390" s="3">
        <v>0</v>
      </c>
      <c r="Z390" s="3">
        <v>0</v>
      </c>
      <c r="AA390" s="3">
        <v>0</v>
      </c>
      <c r="AB390" s="3">
        <v>0</v>
      </c>
      <c r="AC390" s="3">
        <v>0</v>
      </c>
      <c r="AD390" s="3">
        <v>0</v>
      </c>
      <c r="AE390" s="3">
        <v>0</v>
      </c>
      <c r="AF390" s="3">
        <v>0</v>
      </c>
    </row>
    <row r="391" spans="8:32" x14ac:dyDescent="0.35">
      <c r="H391" s="3" t="str">
        <v>Pr</v>
      </c>
      <c r="I391" s="3" t="str">
        <v>Praseodymium</v>
      </c>
      <c r="J391" s="3" t="str">
        <v>Solid-B</v>
      </c>
      <c r="K391" s="3" t="str">
        <v/>
      </c>
      <c r="L391" s="3" t="str">
        <v/>
      </c>
      <c r="M391" s="3">
        <v>3167.288</v>
      </c>
      <c r="N391" s="3">
        <v>1068</v>
      </c>
      <c r="O391" s="3">
        <v>1068</v>
      </c>
      <c r="P391" s="3">
        <v>1204</v>
      </c>
      <c r="Q391" s="3">
        <v>9.19</v>
      </c>
      <c r="R391" s="3">
        <v>0</v>
      </c>
      <c r="S391" s="3">
        <v>0</v>
      </c>
      <c r="T391" s="3">
        <v>0</v>
      </c>
      <c r="U391" s="3">
        <v>0</v>
      </c>
      <c r="V391" s="3">
        <v>0</v>
      </c>
      <c r="W391" s="3">
        <v>0</v>
      </c>
      <c r="X391" s="3">
        <v>0</v>
      </c>
      <c r="Y391" s="3">
        <v>0</v>
      </c>
      <c r="Z391" s="3">
        <v>0</v>
      </c>
      <c r="AA391" s="3">
        <v>0</v>
      </c>
      <c r="AB391" s="3">
        <v>0</v>
      </c>
      <c r="AC391" s="3">
        <v>0</v>
      </c>
      <c r="AD391" s="3">
        <v>0</v>
      </c>
      <c r="AE391" s="3">
        <v>0</v>
      </c>
      <c r="AF391" s="3">
        <v>0</v>
      </c>
    </row>
    <row r="392" spans="8:32" x14ac:dyDescent="0.35">
      <c r="H392" s="3" t="str">
        <v>Pr</v>
      </c>
      <c r="I392" s="3" t="str">
        <v>Praseodymium</v>
      </c>
      <c r="J392" s="3" t="str">
        <v>Liquid</v>
      </c>
      <c r="K392" s="3" t="str">
        <v/>
      </c>
      <c r="L392" s="3" t="str">
        <v/>
      </c>
      <c r="M392" s="3">
        <v>41166.376000000004</v>
      </c>
      <c r="N392" s="3">
        <v>1204</v>
      </c>
      <c r="O392" s="3">
        <v>1204</v>
      </c>
      <c r="P392" s="3">
        <v>3000</v>
      </c>
      <c r="Q392" s="3">
        <v>10.27</v>
      </c>
      <c r="R392" s="3">
        <v>0</v>
      </c>
      <c r="S392" s="3">
        <v>0</v>
      </c>
      <c r="T392" s="3">
        <v>0</v>
      </c>
      <c r="U392" s="3">
        <v>0</v>
      </c>
      <c r="V392" s="3">
        <v>0</v>
      </c>
      <c r="W392" s="3">
        <v>0</v>
      </c>
      <c r="X392" s="3">
        <v>0</v>
      </c>
      <c r="Y392" s="3">
        <v>0</v>
      </c>
      <c r="Z392" s="3">
        <v>0</v>
      </c>
      <c r="AA392" s="3">
        <v>0</v>
      </c>
      <c r="AB392" s="3">
        <v>0</v>
      </c>
      <c r="AC392" s="3">
        <v>0</v>
      </c>
      <c r="AD392" s="3">
        <v>0</v>
      </c>
      <c r="AE392" s="3">
        <v>0</v>
      </c>
      <c r="AF392" s="3">
        <v>0</v>
      </c>
    </row>
    <row r="393" spans="8:32" x14ac:dyDescent="0.35">
      <c r="H393" s="3" t="str">
        <v>Pr</v>
      </c>
      <c r="I393" s="3" t="str">
        <v>Praseodymium</v>
      </c>
      <c r="J393" s="3" t="str">
        <v>Gas</v>
      </c>
      <c r="K393" s="3">
        <v>355640</v>
      </c>
      <c r="L393" s="3">
        <v>189.698376</v>
      </c>
      <c r="M393" s="3" t="str">
        <v/>
      </c>
      <c r="N393" s="3" t="str">
        <v/>
      </c>
      <c r="O393" s="3">
        <v>295</v>
      </c>
      <c r="P393" s="3">
        <v>300</v>
      </c>
      <c r="Q393" s="3">
        <v>5.1050000000000004</v>
      </c>
      <c r="R393" s="3">
        <v>0</v>
      </c>
      <c r="S393" s="3">
        <v>0</v>
      </c>
      <c r="T393" s="3">
        <v>0</v>
      </c>
      <c r="U393" s="3">
        <v>0</v>
      </c>
      <c r="V393" s="3">
        <v>0</v>
      </c>
      <c r="W393" s="3">
        <v>0</v>
      </c>
      <c r="X393" s="3">
        <v>0</v>
      </c>
      <c r="Y393" s="3">
        <v>0</v>
      </c>
      <c r="Z393" s="3">
        <v>0</v>
      </c>
      <c r="AA393" s="3">
        <v>0</v>
      </c>
      <c r="AB393" s="3">
        <v>0</v>
      </c>
      <c r="AC393" s="3">
        <v>0</v>
      </c>
      <c r="AD393" s="3">
        <v>0</v>
      </c>
      <c r="AE393" s="3">
        <v>0</v>
      </c>
      <c r="AF393" s="3">
        <v>0</v>
      </c>
    </row>
    <row r="394" spans="8:32" x14ac:dyDescent="0.35">
      <c r="H394" s="3" t="str">
        <v>Nd</v>
      </c>
      <c r="I394" s="3" t="str">
        <v>Neodymium</v>
      </c>
      <c r="J394" s="3" t="str">
        <v>Solid-A</v>
      </c>
      <c r="K394" s="3">
        <v>0</v>
      </c>
      <c r="L394" s="3">
        <v>71.086159999999992</v>
      </c>
      <c r="M394" s="3" t="str">
        <v/>
      </c>
      <c r="N394" s="3" t="str">
        <v/>
      </c>
      <c r="O394" s="3">
        <v>298</v>
      </c>
      <c r="P394" s="3">
        <v>1128</v>
      </c>
      <c r="Q394" s="3">
        <v>6.1710000000000003</v>
      </c>
      <c r="R394" s="3">
        <v>0</v>
      </c>
      <c r="S394" s="3">
        <v>5.2300000000000003E-4</v>
      </c>
      <c r="T394" s="3">
        <v>1</v>
      </c>
      <c r="U394" s="3">
        <v>-6300</v>
      </c>
      <c r="V394" s="3">
        <v>-2</v>
      </c>
      <c r="W394" s="3">
        <v>3.3330000000000001E-6</v>
      </c>
      <c r="X394" s="3">
        <v>2</v>
      </c>
      <c r="Y394" s="3">
        <v>0</v>
      </c>
      <c r="Z394" s="3">
        <v>0</v>
      </c>
      <c r="AA394" s="3">
        <v>0</v>
      </c>
      <c r="AB394" s="3">
        <v>0</v>
      </c>
      <c r="AC394" s="3">
        <v>0</v>
      </c>
      <c r="AD394" s="3">
        <v>0</v>
      </c>
      <c r="AE394" s="3">
        <v>0</v>
      </c>
      <c r="AF394" s="3">
        <v>0</v>
      </c>
    </row>
    <row r="395" spans="8:32" x14ac:dyDescent="0.35">
      <c r="H395" s="3" t="str">
        <v>Nd</v>
      </c>
      <c r="I395" s="3" t="str">
        <v>Neodymium</v>
      </c>
      <c r="J395" s="3" t="str">
        <v>Solid-B</v>
      </c>
      <c r="K395" s="3" t="str">
        <v/>
      </c>
      <c r="L395" s="3" t="str">
        <v/>
      </c>
      <c r="M395" s="3">
        <v>3029.2159999999999</v>
      </c>
      <c r="N395" s="3">
        <v>1128</v>
      </c>
      <c r="O395" s="3">
        <v>1128</v>
      </c>
      <c r="P395" s="3">
        <v>1289</v>
      </c>
      <c r="Q395" s="3">
        <v>10.65</v>
      </c>
      <c r="R395" s="3">
        <v>0</v>
      </c>
      <c r="S395" s="3">
        <v>0</v>
      </c>
      <c r="T395" s="3">
        <v>0</v>
      </c>
      <c r="U395" s="3">
        <v>0</v>
      </c>
      <c r="V395" s="3">
        <v>0</v>
      </c>
      <c r="W395" s="3">
        <v>0</v>
      </c>
      <c r="X395" s="3">
        <v>0</v>
      </c>
      <c r="Y395" s="3">
        <v>0</v>
      </c>
      <c r="Z395" s="3">
        <v>0</v>
      </c>
      <c r="AA395" s="3">
        <v>0</v>
      </c>
      <c r="AB395" s="3">
        <v>0</v>
      </c>
      <c r="AC395" s="3">
        <v>0</v>
      </c>
      <c r="AD395" s="3">
        <v>0</v>
      </c>
      <c r="AE395" s="3">
        <v>0</v>
      </c>
      <c r="AF395" s="3">
        <v>0</v>
      </c>
    </row>
    <row r="396" spans="8:32" x14ac:dyDescent="0.35">
      <c r="H396" s="3" t="str">
        <v>Nd</v>
      </c>
      <c r="I396" s="3" t="str">
        <v>Neodymium</v>
      </c>
      <c r="J396" s="3" t="str">
        <v>Liquid</v>
      </c>
      <c r="K396" s="3" t="str">
        <v/>
      </c>
      <c r="L396" s="3" t="str">
        <v/>
      </c>
      <c r="M396" s="3">
        <v>7142.0880000000006</v>
      </c>
      <c r="N396" s="3">
        <v>1289</v>
      </c>
      <c r="O396" s="3">
        <v>1289</v>
      </c>
      <c r="P396" s="3">
        <v>2800</v>
      </c>
      <c r="Q396" s="3">
        <v>11.66</v>
      </c>
      <c r="R396" s="3">
        <v>0</v>
      </c>
      <c r="S396" s="3">
        <v>0</v>
      </c>
      <c r="T396" s="3">
        <v>0</v>
      </c>
      <c r="U396" s="3">
        <v>0</v>
      </c>
      <c r="V396" s="3">
        <v>0</v>
      </c>
      <c r="W396" s="3">
        <v>0</v>
      </c>
      <c r="X396" s="3">
        <v>0</v>
      </c>
      <c r="Y396" s="3">
        <v>0</v>
      </c>
      <c r="Z396" s="3">
        <v>0</v>
      </c>
      <c r="AA396" s="3">
        <v>0</v>
      </c>
      <c r="AB396" s="3">
        <v>0</v>
      </c>
      <c r="AC396" s="3">
        <v>0</v>
      </c>
      <c r="AD396" s="3">
        <v>0</v>
      </c>
      <c r="AE396" s="3">
        <v>0</v>
      </c>
      <c r="AF396" s="3">
        <v>0</v>
      </c>
    </row>
    <row r="397" spans="8:32" x14ac:dyDescent="0.35">
      <c r="H397" s="3" t="str">
        <v>Nd</v>
      </c>
      <c r="I397" s="3" t="str">
        <v>Neodymium</v>
      </c>
      <c r="J397" s="3" t="str">
        <v>Gas</v>
      </c>
      <c r="K397" s="3">
        <v>327607.2</v>
      </c>
      <c r="L397" s="3">
        <v>189.29671200000001</v>
      </c>
      <c r="M397" s="3" t="str">
        <v/>
      </c>
      <c r="N397" s="3" t="str">
        <v/>
      </c>
      <c r="O397" s="3">
        <v>295</v>
      </c>
      <c r="P397" s="3">
        <v>300</v>
      </c>
      <c r="Q397" s="3">
        <v>5.28</v>
      </c>
      <c r="R397" s="3">
        <v>0</v>
      </c>
      <c r="S397" s="3">
        <v>0</v>
      </c>
      <c r="T397" s="3">
        <v>0</v>
      </c>
      <c r="U397" s="3">
        <v>0</v>
      </c>
      <c r="V397" s="3">
        <v>0</v>
      </c>
      <c r="W397" s="3">
        <v>0</v>
      </c>
      <c r="X397" s="3">
        <v>0</v>
      </c>
      <c r="Y397" s="3">
        <v>0</v>
      </c>
      <c r="Z397" s="3">
        <v>0</v>
      </c>
      <c r="AA397" s="3">
        <v>0</v>
      </c>
      <c r="AB397" s="3">
        <v>0</v>
      </c>
      <c r="AC397" s="3">
        <v>0</v>
      </c>
      <c r="AD397" s="3">
        <v>0</v>
      </c>
      <c r="AE397" s="3">
        <v>0</v>
      </c>
      <c r="AF397" s="3">
        <v>0</v>
      </c>
    </row>
    <row r="398" spans="8:32" x14ac:dyDescent="0.35">
      <c r="H398" s="3" t="str">
        <v>Sm</v>
      </c>
      <c r="I398" s="3" t="str">
        <v>Samarium</v>
      </c>
      <c r="J398" s="3" t="str">
        <v>Alpha(hex)</v>
      </c>
      <c r="K398" s="3">
        <v>0</v>
      </c>
      <c r="L398" s="3">
        <v>69.49624</v>
      </c>
      <c r="M398" s="3" t="str">
        <v/>
      </c>
      <c r="N398" s="3" t="str">
        <v/>
      </c>
      <c r="O398" s="3">
        <v>298</v>
      </c>
      <c r="P398" s="3">
        <v>1190</v>
      </c>
      <c r="Q398" s="3">
        <v>6</v>
      </c>
      <c r="R398" s="3">
        <v>0</v>
      </c>
      <c r="S398" s="3">
        <v>5.8399999999999997E-3</v>
      </c>
      <c r="T398" s="3">
        <v>1</v>
      </c>
      <c r="U398" s="3">
        <v>-61000</v>
      </c>
      <c r="V398" s="3">
        <v>-2</v>
      </c>
      <c r="W398" s="3">
        <v>0</v>
      </c>
      <c r="X398" s="3">
        <v>0</v>
      </c>
      <c r="Y398" s="3">
        <v>0</v>
      </c>
      <c r="Z398" s="3">
        <v>0</v>
      </c>
      <c r="AA398" s="3">
        <v>0</v>
      </c>
      <c r="AB398" s="3">
        <v>0</v>
      </c>
      <c r="AC398" s="3">
        <v>0</v>
      </c>
      <c r="AD398" s="3">
        <v>0</v>
      </c>
      <c r="AE398" s="3">
        <v>0</v>
      </c>
      <c r="AF398" s="3">
        <v>0</v>
      </c>
    </row>
    <row r="399" spans="8:32" x14ac:dyDescent="0.35">
      <c r="H399" s="3" t="str">
        <v>Sm</v>
      </c>
      <c r="I399" s="3" t="str">
        <v>Samarium</v>
      </c>
      <c r="J399" s="3" t="str">
        <v>Gamma</v>
      </c>
      <c r="K399" s="3" t="str">
        <v/>
      </c>
      <c r="L399" s="3" t="str">
        <v/>
      </c>
      <c r="M399" s="3">
        <v>3112.8960000000002</v>
      </c>
      <c r="N399" s="3">
        <v>1190</v>
      </c>
      <c r="O399" s="3">
        <v>1190</v>
      </c>
      <c r="P399" s="3">
        <v>1345</v>
      </c>
      <c r="Q399" s="3">
        <v>11.22</v>
      </c>
      <c r="R399" s="3">
        <v>0</v>
      </c>
      <c r="S399" s="3">
        <v>0</v>
      </c>
      <c r="T399" s="3">
        <v>0</v>
      </c>
      <c r="U399" s="3">
        <v>0</v>
      </c>
      <c r="V399" s="3">
        <v>0</v>
      </c>
      <c r="W399" s="3">
        <v>0</v>
      </c>
      <c r="X399" s="3">
        <v>0</v>
      </c>
      <c r="Y399" s="3">
        <v>0</v>
      </c>
      <c r="Z399" s="3">
        <v>0</v>
      </c>
      <c r="AA399" s="3">
        <v>0</v>
      </c>
      <c r="AB399" s="3">
        <v>0</v>
      </c>
      <c r="AC399" s="3">
        <v>0</v>
      </c>
      <c r="AD399" s="3">
        <v>0</v>
      </c>
      <c r="AE399" s="3">
        <v>0</v>
      </c>
      <c r="AF399" s="3">
        <v>0</v>
      </c>
    </row>
    <row r="400" spans="8:32" x14ac:dyDescent="0.35">
      <c r="H400" s="3" t="str">
        <v>Sm</v>
      </c>
      <c r="I400" s="3" t="str">
        <v>Samarium</v>
      </c>
      <c r="J400" s="3" t="str">
        <v>Liquid</v>
      </c>
      <c r="K400" s="3" t="str">
        <v/>
      </c>
      <c r="L400" s="3" t="str">
        <v/>
      </c>
      <c r="M400" s="3">
        <v>8619.0400000000009</v>
      </c>
      <c r="N400" s="3">
        <v>1345</v>
      </c>
      <c r="O400" s="3">
        <v>1345</v>
      </c>
      <c r="P400" s="3">
        <v>2064</v>
      </c>
      <c r="Q400" s="3">
        <v>12</v>
      </c>
      <c r="R400" s="3">
        <v>0</v>
      </c>
      <c r="S400" s="3">
        <v>0</v>
      </c>
      <c r="T400" s="3">
        <v>0</v>
      </c>
      <c r="U400" s="3">
        <v>0</v>
      </c>
      <c r="V400" s="3">
        <v>0</v>
      </c>
      <c r="W400" s="3">
        <v>0</v>
      </c>
      <c r="X400" s="3">
        <v>0</v>
      </c>
      <c r="Y400" s="3">
        <v>0</v>
      </c>
      <c r="Z400" s="3">
        <v>0</v>
      </c>
      <c r="AA400" s="3">
        <v>0</v>
      </c>
      <c r="AB400" s="3">
        <v>0</v>
      </c>
      <c r="AC400" s="3">
        <v>0</v>
      </c>
      <c r="AD400" s="3">
        <v>0</v>
      </c>
      <c r="AE400" s="3">
        <v>0</v>
      </c>
      <c r="AF400" s="3">
        <v>0</v>
      </c>
    </row>
    <row r="401" spans="8:32" x14ac:dyDescent="0.35">
      <c r="H401" s="3" t="str">
        <v>Sm</v>
      </c>
      <c r="I401" s="3" t="str">
        <v>Samarium</v>
      </c>
      <c r="J401" s="3" t="str">
        <v>Gas</v>
      </c>
      <c r="K401" s="3" t="str">
        <v/>
      </c>
      <c r="L401" s="3" t="str">
        <v/>
      </c>
      <c r="M401" s="3">
        <v>166410.23200000002</v>
      </c>
      <c r="N401" s="3">
        <v>2064</v>
      </c>
      <c r="O401" s="3">
        <v>2064</v>
      </c>
      <c r="P401" s="3">
        <v>2300</v>
      </c>
      <c r="Q401" s="3">
        <v>6.2809999999999997</v>
      </c>
      <c r="R401" s="3">
        <v>0</v>
      </c>
      <c r="S401" s="3">
        <v>0</v>
      </c>
      <c r="T401" s="3">
        <v>0</v>
      </c>
      <c r="U401" s="3">
        <v>0</v>
      </c>
      <c r="V401" s="3">
        <v>0</v>
      </c>
      <c r="W401" s="3">
        <v>0</v>
      </c>
      <c r="X401" s="3">
        <v>0</v>
      </c>
      <c r="Y401" s="3">
        <v>0</v>
      </c>
      <c r="Z401" s="3">
        <v>0</v>
      </c>
      <c r="AA401" s="3">
        <v>0</v>
      </c>
      <c r="AB401" s="3">
        <v>0</v>
      </c>
      <c r="AC401" s="3">
        <v>0</v>
      </c>
      <c r="AD401" s="3">
        <v>0</v>
      </c>
      <c r="AE401" s="3">
        <v>0</v>
      </c>
      <c r="AF401" s="3">
        <v>0</v>
      </c>
    </row>
    <row r="402" spans="8:32" x14ac:dyDescent="0.35">
      <c r="H402" s="3" t="str">
        <v>Eu</v>
      </c>
      <c r="I402" s="3" t="str">
        <v>Europium</v>
      </c>
      <c r="J402" s="3" t="str">
        <v>Solid</v>
      </c>
      <c r="K402" s="3">
        <v>0</v>
      </c>
      <c r="L402" s="3">
        <v>77.780999320000006</v>
      </c>
      <c r="M402" s="3" t="str">
        <v/>
      </c>
      <c r="N402" s="3" t="str">
        <v/>
      </c>
      <c r="O402" s="3">
        <v>298</v>
      </c>
      <c r="P402" s="3">
        <v>300</v>
      </c>
      <c r="Q402" s="3">
        <v>6.61</v>
      </c>
      <c r="R402" s="3">
        <v>0</v>
      </c>
      <c r="S402" s="3">
        <v>0</v>
      </c>
      <c r="T402" s="3">
        <v>0</v>
      </c>
      <c r="U402" s="3">
        <v>0</v>
      </c>
      <c r="V402" s="3">
        <v>0</v>
      </c>
      <c r="W402" s="3">
        <v>0</v>
      </c>
      <c r="X402" s="3">
        <v>0</v>
      </c>
      <c r="Y402" s="3">
        <v>0</v>
      </c>
      <c r="Z402" s="3">
        <v>0</v>
      </c>
      <c r="AA402" s="3">
        <v>0</v>
      </c>
      <c r="AB402" s="3">
        <v>0</v>
      </c>
      <c r="AC402" s="3">
        <v>0</v>
      </c>
      <c r="AD402" s="3">
        <v>0</v>
      </c>
      <c r="AE402" s="3">
        <v>0</v>
      </c>
      <c r="AF402" s="3">
        <v>0</v>
      </c>
    </row>
    <row r="403" spans="8:32" x14ac:dyDescent="0.35">
      <c r="H403" s="3" t="str">
        <v>Eu</v>
      </c>
      <c r="I403" s="3" t="str">
        <v>Europium</v>
      </c>
      <c r="J403" s="3" t="str">
        <v>Liquid</v>
      </c>
      <c r="K403" s="3" t="str">
        <v/>
      </c>
      <c r="L403" s="3" t="str">
        <v/>
      </c>
      <c r="M403" s="3">
        <v>2192.4160000000002</v>
      </c>
      <c r="N403" s="3">
        <v>1090</v>
      </c>
      <c r="O403" s="3">
        <v>298</v>
      </c>
      <c r="P403" s="3">
        <v>1000</v>
      </c>
      <c r="Q403" s="3">
        <v>6.61</v>
      </c>
      <c r="R403" s="3">
        <v>0</v>
      </c>
      <c r="S403" s="3">
        <v>0</v>
      </c>
      <c r="T403" s="3">
        <v>0</v>
      </c>
      <c r="U403" s="3">
        <v>0</v>
      </c>
      <c r="V403" s="3">
        <v>0</v>
      </c>
      <c r="W403" s="3">
        <v>0</v>
      </c>
      <c r="X403" s="3">
        <v>0</v>
      </c>
      <c r="Y403" s="3">
        <v>0</v>
      </c>
      <c r="Z403" s="3">
        <v>0</v>
      </c>
      <c r="AA403" s="3">
        <v>0</v>
      </c>
      <c r="AB403" s="3">
        <v>0</v>
      </c>
      <c r="AC403" s="3">
        <v>0</v>
      </c>
      <c r="AD403" s="3">
        <v>0</v>
      </c>
      <c r="AE403" s="3">
        <v>0</v>
      </c>
      <c r="AF403" s="3">
        <v>0</v>
      </c>
    </row>
    <row r="404" spans="8:32" x14ac:dyDescent="0.35">
      <c r="H404" s="3" t="str">
        <v>Eu</v>
      </c>
      <c r="I404" s="3" t="str">
        <v>Europium</v>
      </c>
      <c r="J404" s="3" t="str">
        <v>Liquid</v>
      </c>
      <c r="K404" s="3" t="str">
        <v/>
      </c>
      <c r="L404" s="3" t="str">
        <v/>
      </c>
      <c r="M404" s="3">
        <v>2192.4160000000002</v>
      </c>
      <c r="N404" s="3">
        <v>1090</v>
      </c>
      <c r="O404" s="3">
        <v>1000</v>
      </c>
      <c r="P404" s="3">
        <v>2500</v>
      </c>
      <c r="Q404" s="3">
        <v>7.6790000000000003</v>
      </c>
      <c r="R404" s="3">
        <v>0</v>
      </c>
      <c r="S404" s="3">
        <v>0</v>
      </c>
      <c r="T404" s="3">
        <v>0</v>
      </c>
      <c r="U404" s="3">
        <v>0</v>
      </c>
      <c r="V404" s="3">
        <v>0</v>
      </c>
      <c r="W404" s="3">
        <v>0</v>
      </c>
      <c r="X404" s="3">
        <v>0</v>
      </c>
      <c r="Y404" s="3">
        <v>0</v>
      </c>
      <c r="Z404" s="3">
        <v>0</v>
      </c>
      <c r="AA404" s="3">
        <v>0</v>
      </c>
      <c r="AB404" s="3">
        <v>0</v>
      </c>
      <c r="AC404" s="3">
        <v>0</v>
      </c>
      <c r="AD404" s="3">
        <v>0</v>
      </c>
      <c r="AE404" s="3">
        <v>0</v>
      </c>
      <c r="AF404" s="3">
        <v>0</v>
      </c>
    </row>
    <row r="405" spans="8:32" x14ac:dyDescent="0.35">
      <c r="H405" s="3" t="str">
        <v>Eu</v>
      </c>
      <c r="I405" s="3" t="str">
        <v>Europium</v>
      </c>
      <c r="J405" s="3" t="str">
        <v>Gas</v>
      </c>
      <c r="K405" s="3">
        <v>175309.99748000002</v>
      </c>
      <c r="L405" s="3">
        <v>188.68599862400001</v>
      </c>
      <c r="M405" s="3" t="str">
        <v/>
      </c>
      <c r="N405" s="3" t="str">
        <v/>
      </c>
      <c r="O405" s="3">
        <v>298</v>
      </c>
      <c r="P405" s="3">
        <v>300</v>
      </c>
      <c r="Q405" s="3">
        <v>4.968</v>
      </c>
      <c r="R405" s="3">
        <v>0</v>
      </c>
      <c r="S405" s="3">
        <v>0</v>
      </c>
      <c r="T405" s="3">
        <v>0</v>
      </c>
      <c r="U405" s="3">
        <v>0</v>
      </c>
      <c r="V405" s="3">
        <v>0</v>
      </c>
      <c r="W405" s="3">
        <v>0</v>
      </c>
      <c r="X405" s="3">
        <v>0</v>
      </c>
      <c r="Y405" s="3">
        <v>0</v>
      </c>
      <c r="Z405" s="3">
        <v>0</v>
      </c>
      <c r="AA405" s="3">
        <v>0</v>
      </c>
      <c r="AB405" s="3">
        <v>0</v>
      </c>
      <c r="AC405" s="3">
        <v>0</v>
      </c>
      <c r="AD405" s="3">
        <v>0</v>
      </c>
      <c r="AE405" s="3">
        <v>0</v>
      </c>
      <c r="AF405" s="3">
        <v>0</v>
      </c>
    </row>
    <row r="406" spans="8:32" x14ac:dyDescent="0.35">
      <c r="H406" s="3" t="str">
        <v>Gd</v>
      </c>
      <c r="I406" s="3" t="str">
        <v>Gadolinium</v>
      </c>
      <c r="J406" s="3" t="str">
        <v>Solid-A</v>
      </c>
      <c r="K406" s="3">
        <v>0</v>
      </c>
      <c r="L406" s="3">
        <v>67.948160000000001</v>
      </c>
      <c r="M406" s="3" t="str">
        <v/>
      </c>
      <c r="N406" s="3" t="str">
        <v/>
      </c>
      <c r="O406" s="3">
        <v>298</v>
      </c>
      <c r="P406" s="3">
        <v>500</v>
      </c>
      <c r="Q406" s="3">
        <v>-5.4610000000000003</v>
      </c>
      <c r="R406" s="3">
        <v>0</v>
      </c>
      <c r="S406" s="3">
        <v>1.8068000000000001E-2</v>
      </c>
      <c r="T406" s="3">
        <v>1</v>
      </c>
      <c r="U406" s="3">
        <v>794100</v>
      </c>
      <c r="V406" s="3">
        <v>-2</v>
      </c>
      <c r="W406" s="3">
        <v>0</v>
      </c>
      <c r="X406" s="3">
        <v>0</v>
      </c>
      <c r="Y406" s="3">
        <v>0</v>
      </c>
      <c r="Z406" s="3">
        <v>0</v>
      </c>
      <c r="AA406" s="3">
        <v>0</v>
      </c>
      <c r="AB406" s="3">
        <v>0</v>
      </c>
      <c r="AC406" s="3">
        <v>0</v>
      </c>
      <c r="AD406" s="3">
        <v>0</v>
      </c>
      <c r="AE406" s="3">
        <v>0</v>
      </c>
      <c r="AF406" s="3">
        <v>0</v>
      </c>
    </row>
    <row r="407" spans="8:32" x14ac:dyDescent="0.35">
      <c r="H407" s="3" t="str">
        <v>Gd</v>
      </c>
      <c r="I407" s="3" t="str">
        <v>Gadolinium</v>
      </c>
      <c r="J407" s="3" t="str">
        <v>Solid-A</v>
      </c>
      <c r="K407" s="3">
        <v>0</v>
      </c>
      <c r="L407" s="3">
        <v>67.948160000000001</v>
      </c>
      <c r="M407" s="3" t="str">
        <v/>
      </c>
      <c r="N407" s="3" t="str">
        <v/>
      </c>
      <c r="O407" s="3">
        <v>500</v>
      </c>
      <c r="P407" s="3">
        <v>1100</v>
      </c>
      <c r="Q407" s="3">
        <v>5.7210000000000001</v>
      </c>
      <c r="R407" s="3">
        <v>0</v>
      </c>
      <c r="S407" s="3">
        <v>2.0600000000000002E-3</v>
      </c>
      <c r="T407" s="3">
        <v>1</v>
      </c>
      <c r="U407" s="3">
        <v>0</v>
      </c>
      <c r="V407" s="3">
        <v>0</v>
      </c>
      <c r="W407" s="3">
        <v>0</v>
      </c>
      <c r="X407" s="3">
        <v>0</v>
      </c>
      <c r="Y407" s="3">
        <v>0</v>
      </c>
      <c r="Z407" s="3">
        <v>0</v>
      </c>
      <c r="AA407" s="3">
        <v>0</v>
      </c>
      <c r="AB407" s="3">
        <v>0</v>
      </c>
      <c r="AC407" s="3">
        <v>0</v>
      </c>
      <c r="AD407" s="3">
        <v>0</v>
      </c>
      <c r="AE407" s="3">
        <v>0</v>
      </c>
      <c r="AF407" s="3">
        <v>0</v>
      </c>
    </row>
    <row r="408" spans="8:32" x14ac:dyDescent="0.35">
      <c r="H408" s="3" t="str">
        <v>Gd</v>
      </c>
      <c r="I408" s="3" t="str">
        <v>Gadolinium</v>
      </c>
      <c r="J408" s="3" t="str">
        <v>Solid-A</v>
      </c>
      <c r="K408" s="3">
        <v>0</v>
      </c>
      <c r="L408" s="3">
        <v>67.948160000000001</v>
      </c>
      <c r="M408" s="3" t="str">
        <v/>
      </c>
      <c r="N408" s="3" t="str">
        <v/>
      </c>
      <c r="O408" s="3">
        <v>1100</v>
      </c>
      <c r="P408" s="3">
        <v>1533</v>
      </c>
      <c r="Q408" s="3">
        <v>4.7629999999999999</v>
      </c>
      <c r="R408" s="3">
        <v>0</v>
      </c>
      <c r="S408" s="3">
        <v>2.9150000000000001E-3</v>
      </c>
      <c r="T408" s="3">
        <v>1</v>
      </c>
      <c r="U408" s="3">
        <v>0</v>
      </c>
      <c r="V408" s="3">
        <v>0</v>
      </c>
      <c r="W408" s="3">
        <v>0</v>
      </c>
      <c r="X408" s="3">
        <v>0</v>
      </c>
      <c r="Y408" s="3">
        <v>0</v>
      </c>
      <c r="Z408" s="3">
        <v>0</v>
      </c>
      <c r="AA408" s="3">
        <v>0</v>
      </c>
      <c r="AB408" s="3">
        <v>0</v>
      </c>
      <c r="AC408" s="3">
        <v>0</v>
      </c>
      <c r="AD408" s="3">
        <v>0</v>
      </c>
      <c r="AE408" s="3">
        <v>0</v>
      </c>
      <c r="AF408" s="3">
        <v>0</v>
      </c>
    </row>
    <row r="409" spans="8:32" x14ac:dyDescent="0.35">
      <c r="H409" s="3" t="str">
        <v>Gd</v>
      </c>
      <c r="I409" s="3" t="str">
        <v>Gadolinium</v>
      </c>
      <c r="J409" s="3" t="str">
        <v>Solid-B</v>
      </c>
      <c r="K409" s="3" t="str">
        <v/>
      </c>
      <c r="L409" s="3" t="str">
        <v/>
      </c>
      <c r="M409" s="3">
        <v>3912.04</v>
      </c>
      <c r="N409" s="3">
        <v>1533</v>
      </c>
      <c r="O409" s="3">
        <v>1533</v>
      </c>
      <c r="P409" s="3">
        <v>1585</v>
      </c>
      <c r="Q409" s="3">
        <v>6.76</v>
      </c>
      <c r="R409" s="3">
        <v>0</v>
      </c>
      <c r="S409" s="3">
        <v>0</v>
      </c>
      <c r="T409" s="3">
        <v>0</v>
      </c>
      <c r="U409" s="3">
        <v>0</v>
      </c>
      <c r="V409" s="3">
        <v>0</v>
      </c>
      <c r="W409" s="3">
        <v>0</v>
      </c>
      <c r="X409" s="3">
        <v>0</v>
      </c>
      <c r="Y409" s="3">
        <v>0</v>
      </c>
      <c r="Z409" s="3">
        <v>0</v>
      </c>
      <c r="AA409" s="3">
        <v>0</v>
      </c>
      <c r="AB409" s="3">
        <v>0</v>
      </c>
      <c r="AC409" s="3">
        <v>0</v>
      </c>
      <c r="AD409" s="3">
        <v>0</v>
      </c>
      <c r="AE409" s="3">
        <v>0</v>
      </c>
      <c r="AF409" s="3">
        <v>0</v>
      </c>
    </row>
    <row r="410" spans="8:32" x14ac:dyDescent="0.35">
      <c r="H410" s="3" t="str">
        <v>Gd</v>
      </c>
      <c r="I410" s="3" t="str">
        <v>Gadolinium</v>
      </c>
      <c r="J410" s="3" t="str">
        <v>Liquid</v>
      </c>
      <c r="K410" s="3" t="str">
        <v/>
      </c>
      <c r="L410" s="3" t="str">
        <v/>
      </c>
      <c r="M410" s="3">
        <v>10054.152</v>
      </c>
      <c r="N410" s="3">
        <v>1585</v>
      </c>
      <c r="O410" s="3">
        <v>1585</v>
      </c>
      <c r="P410" s="3">
        <v>2400</v>
      </c>
      <c r="Q410" s="3">
        <v>8.8800000000000008</v>
      </c>
      <c r="R410" s="3">
        <v>0</v>
      </c>
      <c r="S410" s="3">
        <v>0</v>
      </c>
      <c r="T410" s="3">
        <v>0</v>
      </c>
      <c r="U410" s="3">
        <v>0</v>
      </c>
      <c r="V410" s="3">
        <v>0</v>
      </c>
      <c r="W410" s="3">
        <v>0</v>
      </c>
      <c r="X410" s="3">
        <v>0</v>
      </c>
      <c r="Y410" s="3">
        <v>0</v>
      </c>
      <c r="Z410" s="3">
        <v>0</v>
      </c>
      <c r="AA410" s="3">
        <v>0</v>
      </c>
      <c r="AB410" s="3">
        <v>0</v>
      </c>
      <c r="AC410" s="3">
        <v>0</v>
      </c>
      <c r="AD410" s="3">
        <v>0</v>
      </c>
      <c r="AE410" s="3">
        <v>0</v>
      </c>
      <c r="AF410" s="3">
        <v>0</v>
      </c>
    </row>
    <row r="411" spans="8:32" x14ac:dyDescent="0.35">
      <c r="H411" s="3" t="str">
        <v>Gd</v>
      </c>
      <c r="I411" s="3" t="str">
        <v>Gadolinium</v>
      </c>
      <c r="J411" s="3" t="str">
        <v>Gas</v>
      </c>
      <c r="K411" s="3">
        <v>397480</v>
      </c>
      <c r="L411" s="3">
        <v>194.204544</v>
      </c>
      <c r="M411" s="3" t="str">
        <v/>
      </c>
      <c r="N411" s="3" t="str">
        <v/>
      </c>
      <c r="O411" s="3">
        <v>295</v>
      </c>
      <c r="P411" s="3">
        <v>300</v>
      </c>
      <c r="Q411" s="3">
        <v>6.5839999999999996</v>
      </c>
      <c r="R411" s="3">
        <v>0</v>
      </c>
      <c r="S411" s="3">
        <v>0</v>
      </c>
      <c r="T411" s="3">
        <v>0</v>
      </c>
      <c r="U411" s="3">
        <v>0</v>
      </c>
      <c r="V411" s="3">
        <v>0</v>
      </c>
      <c r="W411" s="3">
        <v>0</v>
      </c>
      <c r="X411" s="3">
        <v>0</v>
      </c>
      <c r="Y411" s="3">
        <v>0</v>
      </c>
      <c r="Z411" s="3">
        <v>0</v>
      </c>
      <c r="AA411" s="3">
        <v>0</v>
      </c>
      <c r="AB411" s="3">
        <v>0</v>
      </c>
      <c r="AC411" s="3">
        <v>0</v>
      </c>
      <c r="AD411" s="3">
        <v>0</v>
      </c>
      <c r="AE411" s="3">
        <v>0</v>
      </c>
      <c r="AF411" s="3">
        <v>0</v>
      </c>
    </row>
    <row r="412" spans="8:32" x14ac:dyDescent="0.35">
      <c r="H412" s="3" t="str">
        <v>Tb</v>
      </c>
      <c r="I412" s="3" t="str">
        <v>Terbium</v>
      </c>
      <c r="J412" s="3" t="str">
        <v>Solid-A</v>
      </c>
      <c r="K412" s="3">
        <v>0</v>
      </c>
      <c r="L412" s="3">
        <v>73.30368</v>
      </c>
      <c r="M412" s="3" t="str">
        <v/>
      </c>
      <c r="N412" s="3" t="str">
        <v/>
      </c>
      <c r="O412" s="3">
        <v>298</v>
      </c>
      <c r="P412" s="3">
        <v>500</v>
      </c>
      <c r="Q412" s="3">
        <v>7.1269999999999998</v>
      </c>
      <c r="R412" s="3">
        <v>0</v>
      </c>
      <c r="S412" s="3">
        <v>-7.4399999999999998E-4</v>
      </c>
      <c r="T412" s="3">
        <v>1</v>
      </c>
      <c r="U412" s="3">
        <v>0</v>
      </c>
      <c r="V412" s="3">
        <v>0</v>
      </c>
      <c r="W412" s="3">
        <v>0</v>
      </c>
      <c r="X412" s="3">
        <v>0</v>
      </c>
      <c r="Y412" s="3">
        <v>0</v>
      </c>
      <c r="Z412" s="3">
        <v>0</v>
      </c>
      <c r="AA412" s="3">
        <v>0</v>
      </c>
      <c r="AB412" s="3">
        <v>0</v>
      </c>
      <c r="AC412" s="3">
        <v>0</v>
      </c>
      <c r="AD412" s="3">
        <v>0</v>
      </c>
      <c r="AE412" s="3">
        <v>0</v>
      </c>
      <c r="AF412" s="3">
        <v>0</v>
      </c>
    </row>
    <row r="413" spans="8:32" x14ac:dyDescent="0.35">
      <c r="H413" s="3" t="str">
        <v>Tb</v>
      </c>
      <c r="I413" s="3" t="str">
        <v>Terbium</v>
      </c>
      <c r="J413" s="3" t="str">
        <v>Solid-A</v>
      </c>
      <c r="K413" s="3">
        <v>0</v>
      </c>
      <c r="L413" s="3">
        <v>73.30368</v>
      </c>
      <c r="M413" s="3" t="str">
        <v/>
      </c>
      <c r="N413" s="3" t="str">
        <v/>
      </c>
      <c r="O413" s="3">
        <v>500</v>
      </c>
      <c r="P413" s="3">
        <v>1300</v>
      </c>
      <c r="Q413" s="3">
        <v>6.8719999999999999</v>
      </c>
      <c r="R413" s="3">
        <v>0</v>
      </c>
      <c r="S413" s="3">
        <v>2.23E-4</v>
      </c>
      <c r="T413" s="3">
        <v>1</v>
      </c>
      <c r="U413" s="3">
        <v>-157600</v>
      </c>
      <c r="V413" s="3">
        <v>-2</v>
      </c>
      <c r="W413" s="3">
        <v>1.6309999999999999E-6</v>
      </c>
      <c r="X413" s="3">
        <v>2</v>
      </c>
      <c r="Y413" s="3">
        <v>0</v>
      </c>
      <c r="Z413" s="3">
        <v>0</v>
      </c>
      <c r="AA413" s="3">
        <v>0</v>
      </c>
      <c r="AB413" s="3">
        <v>0</v>
      </c>
      <c r="AC413" s="3">
        <v>0</v>
      </c>
      <c r="AD413" s="3">
        <v>0</v>
      </c>
      <c r="AE413" s="3">
        <v>0</v>
      </c>
      <c r="AF413" s="3">
        <v>0</v>
      </c>
    </row>
    <row r="414" spans="8:32" x14ac:dyDescent="0.35">
      <c r="H414" s="3" t="str">
        <v>Tb</v>
      </c>
      <c r="I414" s="3" t="str">
        <v>Terbium</v>
      </c>
      <c r="J414" s="3" t="str">
        <v>Solid-A</v>
      </c>
      <c r="K414" s="3">
        <v>0</v>
      </c>
      <c r="L414" s="3">
        <v>73.30368</v>
      </c>
      <c r="M414" s="3" t="str">
        <v/>
      </c>
      <c r="N414" s="3" t="str">
        <v/>
      </c>
      <c r="O414" s="3">
        <v>1300</v>
      </c>
      <c r="P414" s="3">
        <v>1560</v>
      </c>
      <c r="Q414" s="3">
        <v>3.0830000000000002</v>
      </c>
      <c r="R414" s="3">
        <v>0</v>
      </c>
      <c r="S414" s="3">
        <v>5.1840000000000002E-3</v>
      </c>
      <c r="T414" s="3">
        <v>1</v>
      </c>
      <c r="U414" s="3">
        <v>0</v>
      </c>
      <c r="V414" s="3">
        <v>0</v>
      </c>
      <c r="W414" s="3">
        <v>0</v>
      </c>
      <c r="X414" s="3">
        <v>0</v>
      </c>
      <c r="Y414" s="3">
        <v>0</v>
      </c>
      <c r="Z414" s="3">
        <v>0</v>
      </c>
      <c r="AA414" s="3">
        <v>0</v>
      </c>
      <c r="AB414" s="3">
        <v>0</v>
      </c>
      <c r="AC414" s="3">
        <v>0</v>
      </c>
      <c r="AD414" s="3">
        <v>0</v>
      </c>
      <c r="AE414" s="3">
        <v>0</v>
      </c>
      <c r="AF414" s="3">
        <v>0</v>
      </c>
    </row>
    <row r="415" spans="8:32" x14ac:dyDescent="0.35">
      <c r="H415" s="3" t="str">
        <v>Tb</v>
      </c>
      <c r="I415" s="3" t="str">
        <v>Terbium</v>
      </c>
      <c r="J415" s="3" t="str">
        <v>Solid-B</v>
      </c>
      <c r="K415" s="3" t="str">
        <v/>
      </c>
      <c r="L415" s="3" t="str">
        <v/>
      </c>
      <c r="M415" s="3">
        <v>5020.8</v>
      </c>
      <c r="N415" s="3">
        <v>1560</v>
      </c>
      <c r="O415" s="3">
        <v>1560</v>
      </c>
      <c r="P415" s="3">
        <v>1630</v>
      </c>
      <c r="Q415" s="3">
        <v>6.63</v>
      </c>
      <c r="R415" s="3">
        <v>0</v>
      </c>
      <c r="S415" s="3">
        <v>0</v>
      </c>
      <c r="T415" s="3">
        <v>0</v>
      </c>
      <c r="U415" s="3">
        <v>0</v>
      </c>
      <c r="V415" s="3">
        <v>0</v>
      </c>
      <c r="W415" s="3">
        <v>0</v>
      </c>
      <c r="X415" s="3">
        <v>0</v>
      </c>
      <c r="Y415" s="3">
        <v>0</v>
      </c>
      <c r="Z415" s="3">
        <v>0</v>
      </c>
      <c r="AA415" s="3">
        <v>0</v>
      </c>
      <c r="AB415" s="3">
        <v>0</v>
      </c>
      <c r="AC415" s="3">
        <v>0</v>
      </c>
      <c r="AD415" s="3">
        <v>0</v>
      </c>
      <c r="AE415" s="3">
        <v>0</v>
      </c>
      <c r="AF415" s="3">
        <v>0</v>
      </c>
    </row>
    <row r="416" spans="8:32" x14ac:dyDescent="0.35">
      <c r="H416" s="3" t="str">
        <v>Tb</v>
      </c>
      <c r="I416" s="3" t="str">
        <v>Terbium</v>
      </c>
      <c r="J416" s="3" t="str">
        <v>Liquid</v>
      </c>
      <c r="K416" s="3" t="str">
        <v/>
      </c>
      <c r="L416" s="3" t="str">
        <v/>
      </c>
      <c r="M416" s="3">
        <v>10794.720000000001</v>
      </c>
      <c r="N416" s="3">
        <v>1630</v>
      </c>
      <c r="O416" s="3">
        <v>1630</v>
      </c>
      <c r="P416" s="3">
        <v>2500</v>
      </c>
      <c r="Q416" s="3">
        <v>11.11</v>
      </c>
      <c r="R416" s="3">
        <v>0</v>
      </c>
      <c r="S416" s="3">
        <v>0</v>
      </c>
      <c r="T416" s="3">
        <v>0</v>
      </c>
      <c r="U416" s="3">
        <v>0</v>
      </c>
      <c r="V416" s="3">
        <v>0</v>
      </c>
      <c r="W416" s="3">
        <v>0</v>
      </c>
      <c r="X416" s="3">
        <v>0</v>
      </c>
      <c r="Y416" s="3">
        <v>0</v>
      </c>
      <c r="Z416" s="3">
        <v>0</v>
      </c>
      <c r="AA416" s="3">
        <v>0</v>
      </c>
      <c r="AB416" s="3">
        <v>0</v>
      </c>
      <c r="AC416" s="3">
        <v>0</v>
      </c>
      <c r="AD416" s="3">
        <v>0</v>
      </c>
      <c r="AE416" s="3">
        <v>0</v>
      </c>
      <c r="AF416" s="3">
        <v>0</v>
      </c>
    </row>
    <row r="417" spans="8:32" x14ac:dyDescent="0.35">
      <c r="H417" s="3" t="str">
        <v>Tb</v>
      </c>
      <c r="I417" s="3" t="str">
        <v>Terbium</v>
      </c>
      <c r="J417" s="3" t="str">
        <v>Gas</v>
      </c>
      <c r="K417" s="3">
        <v>388693.60000000003</v>
      </c>
      <c r="L417" s="3">
        <v>203.46792000000002</v>
      </c>
      <c r="M417" s="3" t="str">
        <v/>
      </c>
      <c r="N417" s="3" t="str">
        <v/>
      </c>
      <c r="O417" s="3">
        <v>295</v>
      </c>
      <c r="P417" s="3">
        <v>300</v>
      </c>
      <c r="Q417" s="3">
        <v>5.87</v>
      </c>
      <c r="R417" s="3">
        <v>0</v>
      </c>
      <c r="S417" s="3">
        <v>0</v>
      </c>
      <c r="T417" s="3">
        <v>0</v>
      </c>
      <c r="U417" s="3">
        <v>0</v>
      </c>
      <c r="V417" s="3">
        <v>0</v>
      </c>
      <c r="W417" s="3">
        <v>0</v>
      </c>
      <c r="X417" s="3">
        <v>0</v>
      </c>
      <c r="Y417" s="3">
        <v>0</v>
      </c>
      <c r="Z417" s="3">
        <v>0</v>
      </c>
      <c r="AA417" s="3">
        <v>0</v>
      </c>
      <c r="AB417" s="3">
        <v>0</v>
      </c>
      <c r="AC417" s="3">
        <v>0</v>
      </c>
      <c r="AD417" s="3">
        <v>0</v>
      </c>
      <c r="AE417" s="3">
        <v>0</v>
      </c>
      <c r="AF417" s="3">
        <v>0</v>
      </c>
    </row>
    <row r="418" spans="8:32" x14ac:dyDescent="0.35">
      <c r="H418" s="3" t="str">
        <v>Dy</v>
      </c>
      <c r="I418" s="3" t="str">
        <v>Dysprosium</v>
      </c>
      <c r="J418" s="3" t="str">
        <v>Solid-A</v>
      </c>
      <c r="K418" s="3">
        <v>0</v>
      </c>
      <c r="L418" s="3">
        <v>74.893599999999992</v>
      </c>
      <c r="M418" s="3" t="str">
        <v/>
      </c>
      <c r="N418" s="3" t="str">
        <v/>
      </c>
      <c r="O418" s="3">
        <v>298</v>
      </c>
      <c r="P418" s="3">
        <v>400</v>
      </c>
      <c r="Q418" s="3">
        <v>6.7489999999999997</v>
      </c>
      <c r="R418" s="3">
        <v>0</v>
      </c>
      <c r="S418" s="3">
        <v>-9.7999999999999997E-5</v>
      </c>
      <c r="T418" s="3">
        <v>1</v>
      </c>
      <c r="U418" s="3">
        <v>0</v>
      </c>
      <c r="V418" s="3">
        <v>0</v>
      </c>
      <c r="W418" s="3">
        <v>0</v>
      </c>
      <c r="X418" s="3">
        <v>0</v>
      </c>
      <c r="Y418" s="3">
        <v>0</v>
      </c>
      <c r="Z418" s="3">
        <v>0</v>
      </c>
      <c r="AA418" s="3">
        <v>0</v>
      </c>
      <c r="AB418" s="3">
        <v>0</v>
      </c>
      <c r="AC418" s="3">
        <v>0</v>
      </c>
      <c r="AD418" s="3">
        <v>0</v>
      </c>
      <c r="AE418" s="3">
        <v>0</v>
      </c>
      <c r="AF418" s="3">
        <v>0</v>
      </c>
    </row>
    <row r="419" spans="8:32" x14ac:dyDescent="0.35">
      <c r="H419" s="3" t="str">
        <v>Dy</v>
      </c>
      <c r="I419" s="3" t="str">
        <v>Dysprosium</v>
      </c>
      <c r="J419" s="3" t="str">
        <v>Solid-A</v>
      </c>
      <c r="K419" s="3">
        <v>0</v>
      </c>
      <c r="L419" s="3">
        <v>74.893599999999992</v>
      </c>
      <c r="M419" s="3" t="str">
        <v/>
      </c>
      <c r="N419" s="3" t="str">
        <v/>
      </c>
      <c r="O419" s="3">
        <v>400</v>
      </c>
      <c r="P419" s="3">
        <v>800</v>
      </c>
      <c r="Q419" s="3">
        <v>5.4829999999999997</v>
      </c>
      <c r="R419" s="3">
        <v>0</v>
      </c>
      <c r="S419" s="3">
        <v>1.8109999999999999E-3</v>
      </c>
      <c r="T419" s="3">
        <v>1</v>
      </c>
      <c r="U419" s="3">
        <v>81300</v>
      </c>
      <c r="V419" s="3">
        <v>-2</v>
      </c>
      <c r="W419" s="3">
        <v>0</v>
      </c>
      <c r="X419" s="3">
        <v>0</v>
      </c>
      <c r="Y419" s="3">
        <v>0</v>
      </c>
      <c r="Z419" s="3">
        <v>0</v>
      </c>
      <c r="AA419" s="3">
        <v>0</v>
      </c>
      <c r="AB419" s="3">
        <v>0</v>
      </c>
      <c r="AC419" s="3">
        <v>0</v>
      </c>
      <c r="AD419" s="3">
        <v>0</v>
      </c>
      <c r="AE419" s="3">
        <v>0</v>
      </c>
      <c r="AF419" s="3">
        <v>0</v>
      </c>
    </row>
    <row r="420" spans="8:32" x14ac:dyDescent="0.35">
      <c r="H420" s="3" t="str">
        <v>Dy</v>
      </c>
      <c r="I420" s="3" t="str">
        <v>Dysprosium</v>
      </c>
      <c r="J420" s="3" t="str">
        <v>Solid-A</v>
      </c>
      <c r="K420" s="3">
        <v>0</v>
      </c>
      <c r="L420" s="3">
        <v>74.893599999999992</v>
      </c>
      <c r="M420" s="3" t="str">
        <v/>
      </c>
      <c r="N420" s="3" t="str">
        <v/>
      </c>
      <c r="O420" s="3">
        <v>800</v>
      </c>
      <c r="P420" s="3">
        <v>1657</v>
      </c>
      <c r="Q420" s="3">
        <v>4.5199999999999996</v>
      </c>
      <c r="R420" s="3">
        <v>0</v>
      </c>
      <c r="S420" s="3">
        <v>-8.8800000000000001E-4</v>
      </c>
      <c r="T420" s="3">
        <v>1</v>
      </c>
      <c r="U420" s="3">
        <v>802800</v>
      </c>
      <c r="V420" s="3">
        <v>-2</v>
      </c>
      <c r="W420" s="3">
        <v>3.1559999999999999E-6</v>
      </c>
      <c r="X420" s="3">
        <v>2</v>
      </c>
      <c r="Y420" s="3">
        <v>0</v>
      </c>
      <c r="Z420" s="3">
        <v>0</v>
      </c>
      <c r="AA420" s="3">
        <v>0</v>
      </c>
      <c r="AB420" s="3">
        <v>0</v>
      </c>
      <c r="AC420" s="3">
        <v>0</v>
      </c>
      <c r="AD420" s="3">
        <v>0</v>
      </c>
      <c r="AE420" s="3">
        <v>0</v>
      </c>
      <c r="AF420" s="3">
        <v>0</v>
      </c>
    </row>
    <row r="421" spans="8:32" x14ac:dyDescent="0.35">
      <c r="H421" s="3" t="str">
        <v>Dy</v>
      </c>
      <c r="I421" s="3" t="str">
        <v>Dysprosium</v>
      </c>
      <c r="J421" s="3" t="str">
        <v>Solid-B</v>
      </c>
      <c r="K421" s="3" t="str">
        <v/>
      </c>
      <c r="L421" s="3" t="str">
        <v/>
      </c>
      <c r="M421" s="3">
        <v>4163.08</v>
      </c>
      <c r="N421" s="3">
        <v>1657</v>
      </c>
      <c r="O421" s="3">
        <v>1657</v>
      </c>
      <c r="P421" s="3">
        <v>1682</v>
      </c>
      <c r="Q421" s="3">
        <v>6.7</v>
      </c>
      <c r="R421" s="3">
        <v>0</v>
      </c>
      <c r="S421" s="3">
        <v>0</v>
      </c>
      <c r="T421" s="3">
        <v>0</v>
      </c>
      <c r="U421" s="3">
        <v>0</v>
      </c>
      <c r="V421" s="3">
        <v>0</v>
      </c>
      <c r="W421" s="3">
        <v>0</v>
      </c>
      <c r="X421" s="3">
        <v>0</v>
      </c>
      <c r="Y421" s="3">
        <v>0</v>
      </c>
      <c r="Z421" s="3">
        <v>0</v>
      </c>
      <c r="AA421" s="3">
        <v>0</v>
      </c>
      <c r="AB421" s="3">
        <v>0</v>
      </c>
      <c r="AC421" s="3">
        <v>0</v>
      </c>
      <c r="AD421" s="3">
        <v>0</v>
      </c>
      <c r="AE421" s="3">
        <v>0</v>
      </c>
      <c r="AF421" s="3">
        <v>0</v>
      </c>
    </row>
    <row r="422" spans="8:32" x14ac:dyDescent="0.35">
      <c r="H422" s="3" t="str">
        <v>Dy</v>
      </c>
      <c r="I422" s="3" t="str">
        <v>Dysprosium</v>
      </c>
      <c r="J422" s="3" t="str">
        <v>Liquid</v>
      </c>
      <c r="K422" s="3" t="str">
        <v/>
      </c>
      <c r="L422" s="3" t="str">
        <v/>
      </c>
      <c r="M422" s="3">
        <v>11058.312</v>
      </c>
      <c r="N422" s="3">
        <v>1682</v>
      </c>
      <c r="O422" s="3">
        <v>1682</v>
      </c>
      <c r="P422" s="3">
        <v>2500</v>
      </c>
      <c r="Q422" s="3">
        <v>11.93</v>
      </c>
      <c r="R422" s="3">
        <v>0</v>
      </c>
      <c r="S422" s="3">
        <v>0</v>
      </c>
      <c r="T422" s="3">
        <v>0</v>
      </c>
      <c r="U422" s="3">
        <v>0</v>
      </c>
      <c r="V422" s="3">
        <v>0</v>
      </c>
      <c r="W422" s="3">
        <v>0</v>
      </c>
      <c r="X422" s="3">
        <v>0</v>
      </c>
      <c r="Y422" s="3">
        <v>0</v>
      </c>
      <c r="Z422" s="3">
        <v>0</v>
      </c>
      <c r="AA422" s="3">
        <v>0</v>
      </c>
      <c r="AB422" s="3">
        <v>0</v>
      </c>
      <c r="AC422" s="3">
        <v>0</v>
      </c>
      <c r="AD422" s="3">
        <v>0</v>
      </c>
      <c r="AE422" s="3">
        <v>0</v>
      </c>
      <c r="AF422" s="3">
        <v>0</v>
      </c>
    </row>
    <row r="423" spans="8:32" x14ac:dyDescent="0.35">
      <c r="H423" s="3" t="str">
        <v>Dy</v>
      </c>
      <c r="I423" s="3" t="str">
        <v>Dysprosium</v>
      </c>
      <c r="J423" s="3" t="str">
        <v>Gas</v>
      </c>
      <c r="K423" s="3">
        <v>290369.60000000003</v>
      </c>
      <c r="L423" s="3">
        <v>196.52248</v>
      </c>
      <c r="M423" s="3" t="str">
        <v/>
      </c>
      <c r="N423" s="3" t="str">
        <v/>
      </c>
      <c r="O423" s="3">
        <v>295</v>
      </c>
      <c r="P423" s="3">
        <v>300</v>
      </c>
      <c r="Q423" s="3">
        <v>4.97</v>
      </c>
      <c r="R423" s="3">
        <v>0</v>
      </c>
      <c r="S423" s="3">
        <v>0</v>
      </c>
      <c r="T423" s="3">
        <v>0</v>
      </c>
      <c r="U423" s="3">
        <v>0</v>
      </c>
      <c r="V423" s="3">
        <v>0</v>
      </c>
      <c r="W423" s="3">
        <v>0</v>
      </c>
      <c r="X423" s="3">
        <v>0</v>
      </c>
      <c r="Y423" s="3">
        <v>0</v>
      </c>
      <c r="Z423" s="3">
        <v>0</v>
      </c>
      <c r="AA423" s="3">
        <v>0</v>
      </c>
      <c r="AB423" s="3">
        <v>0</v>
      </c>
      <c r="AC423" s="3">
        <v>0</v>
      </c>
      <c r="AD423" s="3">
        <v>0</v>
      </c>
      <c r="AE423" s="3">
        <v>0</v>
      </c>
      <c r="AF423" s="3">
        <v>0</v>
      </c>
    </row>
    <row r="424" spans="8:32" x14ac:dyDescent="0.35">
      <c r="H424" s="3" t="str">
        <v>Ho</v>
      </c>
      <c r="I424" s="3" t="str">
        <v>Holmium</v>
      </c>
      <c r="J424" s="3" t="str">
        <v>Solid-A</v>
      </c>
      <c r="K424" s="3">
        <v>0</v>
      </c>
      <c r="L424" s="3">
        <v>75.019120000000001</v>
      </c>
      <c r="M424" s="3" t="str">
        <v/>
      </c>
      <c r="N424" s="3" t="str">
        <v/>
      </c>
      <c r="O424" s="3">
        <v>298</v>
      </c>
      <c r="P424" s="3">
        <v>700</v>
      </c>
      <c r="Q424" s="3">
        <v>6.8529999999999998</v>
      </c>
      <c r="R424" s="3">
        <v>0</v>
      </c>
      <c r="S424" s="3">
        <v>1.5E-5</v>
      </c>
      <c r="T424" s="3">
        <v>1</v>
      </c>
      <c r="U424" s="3">
        <v>-32700</v>
      </c>
      <c r="V424" s="3">
        <v>-2</v>
      </c>
      <c r="W424" s="3">
        <v>0</v>
      </c>
      <c r="X424" s="3">
        <v>0</v>
      </c>
      <c r="Y424" s="3">
        <v>0</v>
      </c>
      <c r="Z424" s="3">
        <v>0</v>
      </c>
      <c r="AA424" s="3">
        <v>0</v>
      </c>
      <c r="AB424" s="3">
        <v>0</v>
      </c>
      <c r="AC424" s="3">
        <v>0</v>
      </c>
      <c r="AD424" s="3">
        <v>0</v>
      </c>
      <c r="AE424" s="3">
        <v>0</v>
      </c>
      <c r="AF424" s="3">
        <v>0</v>
      </c>
    </row>
    <row r="425" spans="8:32" x14ac:dyDescent="0.35">
      <c r="H425" s="3" t="str">
        <v>Ho</v>
      </c>
      <c r="I425" s="3" t="str">
        <v>Holmium</v>
      </c>
      <c r="J425" s="3" t="str">
        <v>Solid-A</v>
      </c>
      <c r="K425" s="3">
        <v>0</v>
      </c>
      <c r="L425" s="3">
        <v>75.019120000000001</v>
      </c>
      <c r="M425" s="3" t="str">
        <v/>
      </c>
      <c r="N425" s="3" t="str">
        <v/>
      </c>
      <c r="O425" s="3">
        <v>700</v>
      </c>
      <c r="P425" s="3">
        <v>1701</v>
      </c>
      <c r="Q425" s="3">
        <v>7.1859999999999999</v>
      </c>
      <c r="R425" s="3">
        <v>0</v>
      </c>
      <c r="S425" s="3">
        <v>-3.6259999999999999E-3</v>
      </c>
      <c r="T425" s="3">
        <v>1</v>
      </c>
      <c r="U425" s="3">
        <v>104300</v>
      </c>
      <c r="V425" s="3">
        <v>-2</v>
      </c>
      <c r="W425" s="3">
        <v>3.9450000000000003E-6</v>
      </c>
      <c r="X425" s="3">
        <v>2</v>
      </c>
      <c r="Y425" s="3">
        <v>0</v>
      </c>
      <c r="Z425" s="3">
        <v>0</v>
      </c>
      <c r="AA425" s="3">
        <v>0</v>
      </c>
      <c r="AB425" s="3">
        <v>0</v>
      </c>
      <c r="AC425" s="3">
        <v>0</v>
      </c>
      <c r="AD425" s="3">
        <v>0</v>
      </c>
      <c r="AE425" s="3">
        <v>0</v>
      </c>
      <c r="AF425" s="3">
        <v>0</v>
      </c>
    </row>
    <row r="426" spans="8:32" x14ac:dyDescent="0.35">
      <c r="H426" s="3" t="str">
        <v>Ho</v>
      </c>
      <c r="I426" s="3" t="str">
        <v>Holmium</v>
      </c>
      <c r="J426" s="3" t="str">
        <v>Solid-B</v>
      </c>
      <c r="K426" s="3" t="str">
        <v/>
      </c>
      <c r="L426" s="3" t="str">
        <v/>
      </c>
      <c r="M426" s="3">
        <v>4690.2640000000001</v>
      </c>
      <c r="N426" s="3">
        <v>1701</v>
      </c>
      <c r="O426" s="3">
        <v>1701</v>
      </c>
      <c r="P426" s="3">
        <v>1743</v>
      </c>
      <c r="Q426" s="3">
        <v>6.7</v>
      </c>
      <c r="R426" s="3">
        <v>0</v>
      </c>
      <c r="S426" s="3">
        <v>0</v>
      </c>
      <c r="T426" s="3">
        <v>0</v>
      </c>
      <c r="U426" s="3">
        <v>0</v>
      </c>
      <c r="V426" s="3">
        <v>0</v>
      </c>
      <c r="W426" s="3">
        <v>0</v>
      </c>
      <c r="X426" s="3">
        <v>0</v>
      </c>
      <c r="Y426" s="3">
        <v>0</v>
      </c>
      <c r="Z426" s="3">
        <v>0</v>
      </c>
      <c r="AA426" s="3">
        <v>0</v>
      </c>
      <c r="AB426" s="3">
        <v>0</v>
      </c>
      <c r="AC426" s="3">
        <v>0</v>
      </c>
      <c r="AD426" s="3">
        <v>0</v>
      </c>
      <c r="AE426" s="3">
        <v>0</v>
      </c>
      <c r="AF426" s="3">
        <v>0</v>
      </c>
    </row>
    <row r="427" spans="8:32" x14ac:dyDescent="0.35">
      <c r="H427" s="3" t="str">
        <v>Ho</v>
      </c>
      <c r="I427" s="3" t="str">
        <v>Holmium</v>
      </c>
      <c r="J427" s="3" t="str">
        <v>Liquid</v>
      </c>
      <c r="K427" s="3" t="str">
        <v/>
      </c>
      <c r="L427" s="3" t="str">
        <v/>
      </c>
      <c r="M427" s="3">
        <v>13974.560000000001</v>
      </c>
      <c r="N427" s="3">
        <v>1743</v>
      </c>
      <c r="O427" s="3">
        <v>1743</v>
      </c>
      <c r="P427" s="3">
        <v>2400</v>
      </c>
      <c r="Q427" s="3">
        <v>10.5</v>
      </c>
      <c r="R427" s="3">
        <v>0</v>
      </c>
      <c r="S427" s="3">
        <v>0</v>
      </c>
      <c r="T427" s="3">
        <v>0</v>
      </c>
      <c r="U427" s="3">
        <v>0</v>
      </c>
      <c r="V427" s="3">
        <v>0</v>
      </c>
      <c r="W427" s="3">
        <v>0</v>
      </c>
      <c r="X427" s="3">
        <v>0</v>
      </c>
      <c r="Y427" s="3">
        <v>0</v>
      </c>
      <c r="Z427" s="3">
        <v>0</v>
      </c>
      <c r="AA427" s="3">
        <v>0</v>
      </c>
      <c r="AB427" s="3">
        <v>0</v>
      </c>
      <c r="AC427" s="3">
        <v>0</v>
      </c>
      <c r="AD427" s="3">
        <v>0</v>
      </c>
      <c r="AE427" s="3">
        <v>0</v>
      </c>
      <c r="AF427" s="3">
        <v>0</v>
      </c>
    </row>
    <row r="428" spans="8:32" x14ac:dyDescent="0.35">
      <c r="H428" s="3" t="str">
        <v>Ho</v>
      </c>
      <c r="I428" s="3" t="str">
        <v>Holmium</v>
      </c>
      <c r="J428" s="3" t="str">
        <v>Gas</v>
      </c>
      <c r="K428" s="3">
        <v>300829.60000000003</v>
      </c>
      <c r="L428" s="3">
        <v>195.47648000000001</v>
      </c>
      <c r="M428" s="3" t="str">
        <v/>
      </c>
      <c r="N428" s="3" t="str">
        <v/>
      </c>
      <c r="O428" s="3">
        <v>295</v>
      </c>
      <c r="P428" s="3">
        <v>300</v>
      </c>
      <c r="Q428" s="3">
        <v>4.97</v>
      </c>
      <c r="R428" s="3">
        <v>0</v>
      </c>
      <c r="S428" s="3">
        <v>0</v>
      </c>
      <c r="T428" s="3">
        <v>0</v>
      </c>
      <c r="U428" s="3">
        <v>0</v>
      </c>
      <c r="V428" s="3">
        <v>0</v>
      </c>
      <c r="W428" s="3">
        <v>0</v>
      </c>
      <c r="X428" s="3">
        <v>0</v>
      </c>
      <c r="Y428" s="3">
        <v>0</v>
      </c>
      <c r="Z428" s="3">
        <v>0</v>
      </c>
      <c r="AA428" s="3">
        <v>0</v>
      </c>
      <c r="AB428" s="3">
        <v>0</v>
      </c>
      <c r="AC428" s="3">
        <v>0</v>
      </c>
      <c r="AD428" s="3">
        <v>0</v>
      </c>
      <c r="AE428" s="3">
        <v>0</v>
      </c>
      <c r="AF428" s="3">
        <v>0</v>
      </c>
    </row>
    <row r="429" spans="8:32" x14ac:dyDescent="0.35">
      <c r="H429" s="3" t="str">
        <v>Er</v>
      </c>
      <c r="I429" s="3" t="str">
        <v>Erbium</v>
      </c>
      <c r="J429" s="3" t="str">
        <v>Solid</v>
      </c>
      <c r="K429" s="3">
        <v>0</v>
      </c>
      <c r="L429" s="3">
        <v>73.178159999999991</v>
      </c>
      <c r="M429" s="3" t="str">
        <v/>
      </c>
      <c r="N429" s="3" t="str">
        <v/>
      </c>
      <c r="O429" s="3">
        <v>298</v>
      </c>
      <c r="P429" s="3">
        <v>1795</v>
      </c>
      <c r="Q429" s="3">
        <v>6.7839999999999998</v>
      </c>
      <c r="R429" s="3">
        <v>0</v>
      </c>
      <c r="S429" s="3">
        <v>-4.7800000000000002E-4</v>
      </c>
      <c r="T429" s="3">
        <v>1</v>
      </c>
      <c r="U429" s="3">
        <v>-4500</v>
      </c>
      <c r="V429" s="3">
        <v>-2</v>
      </c>
      <c r="W429" s="3">
        <v>1.3680000000000001E-6</v>
      </c>
      <c r="X429" s="3">
        <v>2</v>
      </c>
      <c r="Y429" s="3">
        <v>0</v>
      </c>
      <c r="Z429" s="3">
        <v>0</v>
      </c>
      <c r="AA429" s="3">
        <v>0</v>
      </c>
      <c r="AB429" s="3">
        <v>0</v>
      </c>
      <c r="AC429" s="3">
        <v>0</v>
      </c>
      <c r="AD429" s="3">
        <v>0</v>
      </c>
      <c r="AE429" s="3">
        <v>0</v>
      </c>
      <c r="AF429" s="3">
        <v>0</v>
      </c>
    </row>
    <row r="430" spans="8:32" x14ac:dyDescent="0.35">
      <c r="H430" s="3" t="str">
        <v>Er</v>
      </c>
      <c r="I430" s="3" t="str">
        <v>Erbium</v>
      </c>
      <c r="J430" s="3" t="str">
        <v>Liquid</v>
      </c>
      <c r="K430" s="3" t="str">
        <v/>
      </c>
      <c r="L430" s="3" t="str">
        <v/>
      </c>
      <c r="M430" s="3">
        <v>19903.288</v>
      </c>
      <c r="N430" s="3">
        <v>1795</v>
      </c>
      <c r="O430" s="3">
        <v>1795</v>
      </c>
      <c r="P430" s="3">
        <v>2500</v>
      </c>
      <c r="Q430" s="3">
        <v>9.25</v>
      </c>
      <c r="R430" s="3">
        <v>0</v>
      </c>
      <c r="S430" s="3">
        <v>0</v>
      </c>
      <c r="T430" s="3">
        <v>0</v>
      </c>
      <c r="U430" s="3">
        <v>0</v>
      </c>
      <c r="V430" s="3">
        <v>0</v>
      </c>
      <c r="W430" s="3">
        <v>0</v>
      </c>
      <c r="X430" s="3">
        <v>0</v>
      </c>
      <c r="Y430" s="3">
        <v>0</v>
      </c>
      <c r="Z430" s="3">
        <v>0</v>
      </c>
      <c r="AA430" s="3">
        <v>0</v>
      </c>
      <c r="AB430" s="3">
        <v>0</v>
      </c>
      <c r="AC430" s="3">
        <v>0</v>
      </c>
      <c r="AD430" s="3">
        <v>0</v>
      </c>
      <c r="AE430" s="3">
        <v>0</v>
      </c>
      <c r="AF430" s="3">
        <v>0</v>
      </c>
    </row>
    <row r="431" spans="8:32" x14ac:dyDescent="0.35">
      <c r="H431" s="3" t="str">
        <v>Er</v>
      </c>
      <c r="I431" s="3" t="str">
        <v>Erbium</v>
      </c>
      <c r="J431" s="3" t="str">
        <v>Gas</v>
      </c>
      <c r="K431" s="3">
        <v>317147.2</v>
      </c>
      <c r="L431" s="3">
        <v>195.47648000000001</v>
      </c>
      <c r="M431" s="3" t="str">
        <v/>
      </c>
      <c r="N431" s="3" t="str">
        <v/>
      </c>
      <c r="O431" s="3">
        <v>295</v>
      </c>
      <c r="P431" s="3">
        <v>300</v>
      </c>
      <c r="Q431" s="3">
        <v>4.97</v>
      </c>
      <c r="R431" s="3">
        <v>0</v>
      </c>
      <c r="S431" s="3">
        <v>0</v>
      </c>
      <c r="T431" s="3">
        <v>0</v>
      </c>
      <c r="U431" s="3">
        <v>0</v>
      </c>
      <c r="V431" s="3">
        <v>0</v>
      </c>
      <c r="W431" s="3">
        <v>0</v>
      </c>
      <c r="X431" s="3">
        <v>0</v>
      </c>
      <c r="Y431" s="3">
        <v>0</v>
      </c>
      <c r="Z431" s="3">
        <v>0</v>
      </c>
      <c r="AA431" s="3">
        <v>0</v>
      </c>
      <c r="AB431" s="3">
        <v>0</v>
      </c>
      <c r="AC431" s="3">
        <v>0</v>
      </c>
      <c r="AD431" s="3">
        <v>0</v>
      </c>
      <c r="AE431" s="3">
        <v>0</v>
      </c>
      <c r="AF431" s="3">
        <v>0</v>
      </c>
    </row>
    <row r="432" spans="8:32" x14ac:dyDescent="0.35">
      <c r="H432" s="3" t="str">
        <v>Tm</v>
      </c>
      <c r="I432" s="3" t="str">
        <v>Thulium</v>
      </c>
      <c r="J432" s="3" t="str">
        <v>Solid</v>
      </c>
      <c r="K432" s="3">
        <v>0</v>
      </c>
      <c r="L432" s="3">
        <v>74.014960000000002</v>
      </c>
      <c r="M432" s="3" t="str">
        <v/>
      </c>
      <c r="N432" s="3" t="str">
        <v/>
      </c>
      <c r="O432" s="3">
        <v>298</v>
      </c>
      <c r="P432" s="3">
        <v>800</v>
      </c>
      <c r="Q432" s="3">
        <v>8.7590000000000003</v>
      </c>
      <c r="R432" s="3">
        <v>0</v>
      </c>
      <c r="S432" s="3">
        <v>-7.4009999999999996E-3</v>
      </c>
      <c r="T432" s="3">
        <v>1</v>
      </c>
      <c r="U432" s="3">
        <v>-61900</v>
      </c>
      <c r="V432" s="3">
        <v>-2</v>
      </c>
      <c r="W432" s="3">
        <v>6.7719999999999997E-6</v>
      </c>
      <c r="X432" s="3">
        <v>2</v>
      </c>
      <c r="Y432" s="3">
        <v>0</v>
      </c>
      <c r="Z432" s="3">
        <v>0</v>
      </c>
      <c r="AA432" s="3">
        <v>0</v>
      </c>
      <c r="AB432" s="3">
        <v>0</v>
      </c>
      <c r="AC432" s="3">
        <v>0</v>
      </c>
      <c r="AD432" s="3">
        <v>0</v>
      </c>
      <c r="AE432" s="3">
        <v>0</v>
      </c>
      <c r="AF432" s="3">
        <v>0</v>
      </c>
    </row>
    <row r="433" spans="8:32" x14ac:dyDescent="0.35">
      <c r="H433" s="3" t="str">
        <v>Tm</v>
      </c>
      <c r="I433" s="3" t="str">
        <v>Thulium</v>
      </c>
      <c r="J433" s="3" t="str">
        <v>Solid</v>
      </c>
      <c r="K433" s="3">
        <v>0</v>
      </c>
      <c r="L433" s="3">
        <v>74.014960000000002</v>
      </c>
      <c r="M433" s="3" t="str">
        <v/>
      </c>
      <c r="N433" s="3" t="str">
        <v/>
      </c>
      <c r="O433" s="3">
        <v>800</v>
      </c>
      <c r="P433" s="3">
        <v>1818</v>
      </c>
      <c r="Q433" s="3">
        <v>6.1280000000000001</v>
      </c>
      <c r="R433" s="3">
        <v>0</v>
      </c>
      <c r="S433" s="3">
        <v>1.591E-3</v>
      </c>
      <c r="T433" s="3">
        <v>1</v>
      </c>
      <c r="U433" s="3">
        <v>-199200</v>
      </c>
      <c r="V433" s="3">
        <v>-2</v>
      </c>
      <c r="W433" s="3">
        <v>0</v>
      </c>
      <c r="X433" s="3">
        <v>0</v>
      </c>
      <c r="Y433" s="3">
        <v>0</v>
      </c>
      <c r="Z433" s="3">
        <v>0</v>
      </c>
      <c r="AA433" s="3">
        <v>0</v>
      </c>
      <c r="AB433" s="3">
        <v>0</v>
      </c>
      <c r="AC433" s="3">
        <v>0</v>
      </c>
      <c r="AD433" s="3">
        <v>0</v>
      </c>
      <c r="AE433" s="3">
        <v>0</v>
      </c>
      <c r="AF433" s="3">
        <v>0</v>
      </c>
    </row>
    <row r="434" spans="8:32" x14ac:dyDescent="0.35">
      <c r="H434" s="3" t="str">
        <v>Tm</v>
      </c>
      <c r="I434" s="3" t="str">
        <v>Thulium</v>
      </c>
      <c r="J434" s="3" t="str">
        <v>Liquid</v>
      </c>
      <c r="K434" s="3" t="str">
        <v/>
      </c>
      <c r="L434" s="3" t="str">
        <v/>
      </c>
      <c r="M434" s="3">
        <v>16840.600000000002</v>
      </c>
      <c r="N434" s="3">
        <v>1818</v>
      </c>
      <c r="O434" s="3">
        <v>1818</v>
      </c>
      <c r="P434" s="3">
        <v>2220</v>
      </c>
      <c r="Q434" s="3">
        <v>9.89</v>
      </c>
      <c r="R434" s="3">
        <v>0</v>
      </c>
      <c r="S434" s="3">
        <v>0</v>
      </c>
      <c r="T434" s="3">
        <v>0</v>
      </c>
      <c r="U434" s="3">
        <v>0</v>
      </c>
      <c r="V434" s="3">
        <v>0</v>
      </c>
      <c r="W434" s="3">
        <v>0</v>
      </c>
      <c r="X434" s="3">
        <v>0</v>
      </c>
      <c r="Y434" s="3">
        <v>0</v>
      </c>
      <c r="Z434" s="3">
        <v>0</v>
      </c>
      <c r="AA434" s="3">
        <v>0</v>
      </c>
      <c r="AB434" s="3">
        <v>0</v>
      </c>
      <c r="AC434" s="3">
        <v>0</v>
      </c>
      <c r="AD434" s="3">
        <v>0</v>
      </c>
      <c r="AE434" s="3">
        <v>0</v>
      </c>
      <c r="AF434" s="3">
        <v>0</v>
      </c>
    </row>
    <row r="435" spans="8:32" x14ac:dyDescent="0.35">
      <c r="H435" s="3" t="str">
        <v>Tm</v>
      </c>
      <c r="I435" s="3" t="str">
        <v>Thulium</v>
      </c>
      <c r="J435" s="3" t="str">
        <v>Gas</v>
      </c>
      <c r="K435" s="3" t="str">
        <v/>
      </c>
      <c r="L435" s="3" t="str">
        <v/>
      </c>
      <c r="M435" s="3">
        <v>190694.16800000001</v>
      </c>
      <c r="N435" s="3">
        <v>2220</v>
      </c>
      <c r="O435" s="3">
        <v>2220</v>
      </c>
      <c r="P435" s="3">
        <v>2400</v>
      </c>
      <c r="Q435" s="3">
        <v>5.1529999999999996</v>
      </c>
      <c r="R435" s="3">
        <v>0</v>
      </c>
      <c r="S435" s="3">
        <v>0</v>
      </c>
      <c r="T435" s="3">
        <v>0</v>
      </c>
      <c r="U435" s="3">
        <v>0</v>
      </c>
      <c r="V435" s="3">
        <v>0</v>
      </c>
      <c r="W435" s="3">
        <v>0</v>
      </c>
      <c r="X435" s="3">
        <v>0</v>
      </c>
      <c r="Y435" s="3">
        <v>0</v>
      </c>
      <c r="Z435" s="3">
        <v>0</v>
      </c>
      <c r="AA435" s="3">
        <v>0</v>
      </c>
      <c r="AB435" s="3">
        <v>0</v>
      </c>
      <c r="AC435" s="3">
        <v>0</v>
      </c>
      <c r="AD435" s="3">
        <v>0</v>
      </c>
      <c r="AE435" s="3">
        <v>0</v>
      </c>
      <c r="AF435" s="3">
        <v>0</v>
      </c>
    </row>
    <row r="436" spans="8:32" x14ac:dyDescent="0.35">
      <c r="H436" s="3" t="str">
        <v>Yb</v>
      </c>
      <c r="I436" s="3" t="str">
        <v>Ytterbium</v>
      </c>
      <c r="J436" s="3" t="str">
        <v>Solid-A</v>
      </c>
      <c r="K436" s="3">
        <v>0</v>
      </c>
      <c r="L436" s="3">
        <v>59.831200000000003</v>
      </c>
      <c r="M436" s="3" t="str">
        <v/>
      </c>
      <c r="N436" s="3" t="str">
        <v/>
      </c>
      <c r="O436" s="3">
        <v>298</v>
      </c>
      <c r="P436" s="3">
        <v>553</v>
      </c>
      <c r="Q436" s="3">
        <v>-0.104</v>
      </c>
      <c r="R436" s="3">
        <v>0</v>
      </c>
      <c r="S436" s="3">
        <v>1.321E-2</v>
      </c>
      <c r="T436" s="3">
        <v>1</v>
      </c>
      <c r="U436" s="3">
        <v>227100</v>
      </c>
      <c r="V436" s="3">
        <v>-2</v>
      </c>
      <c r="W436" s="3">
        <v>0</v>
      </c>
      <c r="X436" s="3">
        <v>0</v>
      </c>
      <c r="Y436" s="3">
        <v>0</v>
      </c>
      <c r="Z436" s="3">
        <v>0</v>
      </c>
      <c r="AA436" s="3">
        <v>0</v>
      </c>
      <c r="AB436" s="3">
        <v>0</v>
      </c>
      <c r="AC436" s="3">
        <v>0</v>
      </c>
      <c r="AD436" s="3">
        <v>0</v>
      </c>
      <c r="AE436" s="3">
        <v>0</v>
      </c>
      <c r="AF436" s="3">
        <v>0</v>
      </c>
    </row>
    <row r="437" spans="8:32" x14ac:dyDescent="0.35">
      <c r="H437" s="3" t="str">
        <v>Yb</v>
      </c>
      <c r="I437" s="3" t="str">
        <v>Ytterbium</v>
      </c>
      <c r="J437" s="3" t="str">
        <v>Solid-A</v>
      </c>
      <c r="K437" s="3">
        <v>0</v>
      </c>
      <c r="L437" s="3">
        <v>59.831200000000003</v>
      </c>
      <c r="M437" s="3" t="str">
        <v/>
      </c>
      <c r="N437" s="3" t="str">
        <v/>
      </c>
      <c r="O437" s="3">
        <v>553</v>
      </c>
      <c r="P437" s="3">
        <v>1033</v>
      </c>
      <c r="Q437" s="3">
        <v>6.375</v>
      </c>
      <c r="R437" s="3">
        <v>0</v>
      </c>
      <c r="S437" s="3">
        <v>1.2509999999999999E-3</v>
      </c>
      <c r="T437" s="3">
        <v>1</v>
      </c>
      <c r="U437" s="3">
        <v>0</v>
      </c>
      <c r="V437" s="3">
        <v>0</v>
      </c>
      <c r="W437" s="3">
        <v>0</v>
      </c>
      <c r="X437" s="3">
        <v>0</v>
      </c>
      <c r="Y437" s="3">
        <v>0</v>
      </c>
      <c r="Z437" s="3">
        <v>0</v>
      </c>
      <c r="AA437" s="3">
        <v>0</v>
      </c>
      <c r="AB437" s="3">
        <v>0</v>
      </c>
      <c r="AC437" s="3">
        <v>0</v>
      </c>
      <c r="AD437" s="3">
        <v>0</v>
      </c>
      <c r="AE437" s="3">
        <v>0</v>
      </c>
      <c r="AF437" s="3">
        <v>0</v>
      </c>
    </row>
    <row r="438" spans="8:32" x14ac:dyDescent="0.35">
      <c r="H438" s="3" t="str">
        <v>Yb</v>
      </c>
      <c r="I438" s="3" t="str">
        <v>Ytterbium</v>
      </c>
      <c r="J438" s="3" t="str">
        <v>Solid-B</v>
      </c>
      <c r="K438" s="3" t="str">
        <v/>
      </c>
      <c r="L438" s="3" t="str">
        <v/>
      </c>
      <c r="M438" s="3">
        <v>1748.912</v>
      </c>
      <c r="N438" s="3">
        <v>1033</v>
      </c>
      <c r="O438" s="3">
        <v>1033</v>
      </c>
      <c r="P438" s="3">
        <v>1097</v>
      </c>
      <c r="Q438" s="3">
        <v>8.6300000000000008</v>
      </c>
      <c r="R438" s="3">
        <v>0</v>
      </c>
      <c r="S438" s="3">
        <v>0</v>
      </c>
      <c r="T438" s="3">
        <v>0</v>
      </c>
      <c r="U438" s="3">
        <v>0</v>
      </c>
      <c r="V438" s="3">
        <v>0</v>
      </c>
      <c r="W438" s="3">
        <v>0</v>
      </c>
      <c r="X438" s="3">
        <v>0</v>
      </c>
      <c r="Y438" s="3">
        <v>0</v>
      </c>
      <c r="Z438" s="3">
        <v>0</v>
      </c>
      <c r="AA438" s="3">
        <v>0</v>
      </c>
      <c r="AB438" s="3">
        <v>0</v>
      </c>
      <c r="AC438" s="3">
        <v>0</v>
      </c>
      <c r="AD438" s="3">
        <v>0</v>
      </c>
      <c r="AE438" s="3">
        <v>0</v>
      </c>
      <c r="AF438" s="3">
        <v>0</v>
      </c>
    </row>
    <row r="439" spans="8:32" x14ac:dyDescent="0.35">
      <c r="H439" s="3" t="str">
        <v>Yb</v>
      </c>
      <c r="I439" s="3" t="str">
        <v>Ytterbium</v>
      </c>
      <c r="J439" s="3" t="str">
        <v>Liquid</v>
      </c>
      <c r="K439" s="3" t="str">
        <v/>
      </c>
      <c r="L439" s="3" t="str">
        <v/>
      </c>
      <c r="M439" s="3">
        <v>7656.72</v>
      </c>
      <c r="N439" s="3">
        <v>1097</v>
      </c>
      <c r="O439" s="3">
        <v>1097</v>
      </c>
      <c r="P439" s="3">
        <v>1467</v>
      </c>
      <c r="Q439" s="3">
        <v>8.7899999999999991</v>
      </c>
      <c r="R439" s="3">
        <v>0</v>
      </c>
      <c r="S439" s="3">
        <v>0</v>
      </c>
      <c r="T439" s="3">
        <v>0</v>
      </c>
      <c r="U439" s="3">
        <v>0</v>
      </c>
      <c r="V439" s="3">
        <v>0</v>
      </c>
      <c r="W439" s="3">
        <v>0</v>
      </c>
      <c r="X439" s="3">
        <v>0</v>
      </c>
      <c r="Y439" s="3">
        <v>0</v>
      </c>
      <c r="Z439" s="3">
        <v>0</v>
      </c>
      <c r="AA439" s="3">
        <v>0</v>
      </c>
      <c r="AB439" s="3">
        <v>0</v>
      </c>
      <c r="AC439" s="3">
        <v>0</v>
      </c>
      <c r="AD439" s="3">
        <v>0</v>
      </c>
      <c r="AE439" s="3">
        <v>0</v>
      </c>
      <c r="AF439" s="3">
        <v>0</v>
      </c>
    </row>
    <row r="440" spans="8:32" x14ac:dyDescent="0.35">
      <c r="H440" s="3" t="str">
        <v>Yb</v>
      </c>
      <c r="I440" s="3" t="str">
        <v>Ytterbium</v>
      </c>
      <c r="J440" s="3" t="str">
        <v>Gas</v>
      </c>
      <c r="K440" s="3" t="str">
        <v/>
      </c>
      <c r="L440" s="3" t="str">
        <v/>
      </c>
      <c r="M440" s="3">
        <v>128833.728</v>
      </c>
      <c r="N440" s="3">
        <v>1467</v>
      </c>
      <c r="O440" s="3">
        <v>1467</v>
      </c>
      <c r="P440" s="3">
        <v>2000</v>
      </c>
      <c r="Q440" s="3">
        <v>4.968</v>
      </c>
      <c r="R440" s="3">
        <v>0</v>
      </c>
      <c r="S440" s="3">
        <v>0</v>
      </c>
      <c r="T440" s="3">
        <v>0</v>
      </c>
      <c r="U440" s="3">
        <v>0</v>
      </c>
      <c r="V440" s="3">
        <v>0</v>
      </c>
      <c r="W440" s="3">
        <v>0</v>
      </c>
      <c r="X440" s="3">
        <v>0</v>
      </c>
      <c r="Y440" s="3">
        <v>0</v>
      </c>
      <c r="Z440" s="3">
        <v>0</v>
      </c>
      <c r="AA440" s="3">
        <v>0</v>
      </c>
      <c r="AB440" s="3">
        <v>0</v>
      </c>
      <c r="AC440" s="3">
        <v>0</v>
      </c>
      <c r="AD440" s="3">
        <v>0</v>
      </c>
      <c r="AE440" s="3">
        <v>0</v>
      </c>
      <c r="AF440" s="3">
        <v>0</v>
      </c>
    </row>
    <row r="441" spans="8:32" x14ac:dyDescent="0.35">
      <c r="H441" s="3" t="str">
        <v>Lu</v>
      </c>
      <c r="I441" s="3" t="str">
        <v>Lutetium</v>
      </c>
      <c r="J441" s="3" t="str">
        <v>Solid</v>
      </c>
      <c r="K441" s="3">
        <v>0</v>
      </c>
      <c r="L441" s="3">
        <v>50.961120000000001</v>
      </c>
      <c r="M441" s="3" t="str">
        <v/>
      </c>
      <c r="N441" s="3" t="str">
        <v/>
      </c>
      <c r="O441" s="3">
        <v>298</v>
      </c>
      <c r="P441" s="3">
        <v>1936</v>
      </c>
      <c r="Q441" s="3">
        <v>6.55</v>
      </c>
      <c r="R441" s="3">
        <v>0</v>
      </c>
      <c r="S441" s="3">
        <v>-1.2849999999999999E-3</v>
      </c>
      <c r="T441" s="3">
        <v>1</v>
      </c>
      <c r="U441" s="3">
        <v>6200</v>
      </c>
      <c r="V441" s="3">
        <v>-2</v>
      </c>
      <c r="W441" s="3">
        <v>1.979E-6</v>
      </c>
      <c r="X441" s="3">
        <v>2</v>
      </c>
      <c r="Y441" s="3">
        <v>0</v>
      </c>
      <c r="Z441" s="3">
        <v>0</v>
      </c>
      <c r="AA441" s="3">
        <v>0</v>
      </c>
      <c r="AB441" s="3">
        <v>0</v>
      </c>
      <c r="AC441" s="3">
        <v>0</v>
      </c>
      <c r="AD441" s="3">
        <v>0</v>
      </c>
      <c r="AE441" s="3">
        <v>0</v>
      </c>
      <c r="AF441" s="3">
        <v>0</v>
      </c>
    </row>
    <row r="442" spans="8:32" x14ac:dyDescent="0.35">
      <c r="H442" s="3" t="str">
        <v>Lu</v>
      </c>
      <c r="I442" s="3" t="str">
        <v>Lutetium</v>
      </c>
      <c r="J442" s="3" t="str">
        <v>Liquid</v>
      </c>
      <c r="K442" s="3" t="str">
        <v/>
      </c>
      <c r="L442" s="3" t="str">
        <v/>
      </c>
      <c r="M442" s="3">
        <v>20137.592000000001</v>
      </c>
      <c r="N442" s="3">
        <v>1936</v>
      </c>
      <c r="O442" s="3">
        <v>1936</v>
      </c>
      <c r="P442" s="3">
        <v>3000</v>
      </c>
      <c r="Q442" s="3">
        <v>11.45</v>
      </c>
      <c r="R442" s="3">
        <v>0</v>
      </c>
      <c r="S442" s="3">
        <v>0</v>
      </c>
      <c r="T442" s="3">
        <v>0</v>
      </c>
      <c r="U442" s="3">
        <v>0</v>
      </c>
      <c r="V442" s="3">
        <v>0</v>
      </c>
      <c r="W442" s="3">
        <v>0</v>
      </c>
      <c r="X442" s="3">
        <v>0</v>
      </c>
      <c r="Y442" s="3">
        <v>0</v>
      </c>
      <c r="Z442" s="3">
        <v>0</v>
      </c>
      <c r="AA442" s="3">
        <v>0</v>
      </c>
      <c r="AB442" s="3">
        <v>0</v>
      </c>
      <c r="AC442" s="3">
        <v>0</v>
      </c>
      <c r="AD442" s="3">
        <v>0</v>
      </c>
      <c r="AE442" s="3">
        <v>0</v>
      </c>
      <c r="AF442" s="3">
        <v>0</v>
      </c>
    </row>
    <row r="443" spans="8:32" x14ac:dyDescent="0.35">
      <c r="H443" s="3" t="str">
        <v>Lu</v>
      </c>
      <c r="I443" s="3" t="str">
        <v>Lutetium</v>
      </c>
      <c r="J443" s="3" t="str">
        <v>Gas</v>
      </c>
      <c r="K443" s="3">
        <v>427604.8</v>
      </c>
      <c r="L443" s="3">
        <v>184.69012800000002</v>
      </c>
      <c r="M443" s="3" t="str">
        <v/>
      </c>
      <c r="N443" s="3" t="str">
        <v/>
      </c>
      <c r="O443" s="3">
        <v>295</v>
      </c>
      <c r="P443" s="3">
        <v>300</v>
      </c>
      <c r="Q443" s="3">
        <v>4.9859999999999998</v>
      </c>
      <c r="R443" s="3">
        <v>0</v>
      </c>
      <c r="S443" s="3">
        <v>0</v>
      </c>
      <c r="T443" s="3">
        <v>0</v>
      </c>
      <c r="U443" s="3">
        <v>0</v>
      </c>
      <c r="V443" s="3">
        <v>0</v>
      </c>
      <c r="W443" s="3">
        <v>0</v>
      </c>
      <c r="X443" s="3">
        <v>0</v>
      </c>
      <c r="Y443" s="3">
        <v>0</v>
      </c>
      <c r="Z443" s="3">
        <v>0</v>
      </c>
      <c r="AA443" s="3">
        <v>0</v>
      </c>
      <c r="AB443" s="3">
        <v>0</v>
      </c>
      <c r="AC443" s="3">
        <v>0</v>
      </c>
      <c r="AD443" s="3">
        <v>0</v>
      </c>
      <c r="AE443" s="3">
        <v>0</v>
      </c>
      <c r="AF443" s="3">
        <v>0</v>
      </c>
    </row>
    <row r="444" spans="8:32" x14ac:dyDescent="0.35">
      <c r="H444" s="3" t="str">
        <v>Hf</v>
      </c>
      <c r="I444" s="3" t="str">
        <v>Hafnium</v>
      </c>
      <c r="J444" s="3" t="str">
        <v>Solid Alpha</v>
      </c>
      <c r="K444" s="3">
        <v>0</v>
      </c>
      <c r="L444" s="3">
        <v>43.56</v>
      </c>
      <c r="M444" s="3" t="str">
        <v/>
      </c>
      <c r="N444" s="3" t="str">
        <v/>
      </c>
      <c r="O444" s="3">
        <v>298.14999999999998</v>
      </c>
      <c r="P444" s="3">
        <v>2500</v>
      </c>
      <c r="Q444" s="3">
        <v>26.728315501907801</v>
      </c>
      <c r="R444" s="3">
        <v>0</v>
      </c>
      <c r="S444" s="3">
        <v>6.6601782920592597E-3</v>
      </c>
      <c r="T444" s="3">
        <v>1</v>
      </c>
      <c r="U444" s="3">
        <v>219405.81550423501</v>
      </c>
      <c r="V444" s="3">
        <v>-2</v>
      </c>
      <c r="W444" s="3">
        <v>-1628.5212949909501</v>
      </c>
      <c r="X444" s="3">
        <v>-1</v>
      </c>
      <c r="Y444" s="3">
        <v>0</v>
      </c>
      <c r="Z444" s="3">
        <v>0</v>
      </c>
      <c r="AA444" s="3">
        <v>0</v>
      </c>
      <c r="AB444" s="3">
        <v>0</v>
      </c>
      <c r="AC444" s="3">
        <v>0</v>
      </c>
      <c r="AD444" s="3">
        <v>0</v>
      </c>
      <c r="AE444" s="3">
        <v>0</v>
      </c>
      <c r="AF444" s="3">
        <v>0</v>
      </c>
    </row>
    <row r="445" spans="8:32" x14ac:dyDescent="0.35">
      <c r="H445" s="3" t="str">
        <v>Hf</v>
      </c>
      <c r="I445" s="3" t="str">
        <v>Hafnium</v>
      </c>
      <c r="J445" s="3" t="str">
        <v>Solid Alpha</v>
      </c>
      <c r="K445" s="3">
        <v>0</v>
      </c>
      <c r="L445" s="3">
        <v>43.56</v>
      </c>
      <c r="M445" s="3" t="str">
        <v/>
      </c>
      <c r="N445" s="3" t="str">
        <v/>
      </c>
      <c r="O445" s="3">
        <v>2500</v>
      </c>
      <c r="P445" s="3">
        <v>2501</v>
      </c>
      <c r="Q445" s="3">
        <v>37.655999999999999</v>
      </c>
      <c r="R445" s="3">
        <v>0</v>
      </c>
      <c r="S445" s="3">
        <v>0</v>
      </c>
      <c r="T445" s="3">
        <v>0</v>
      </c>
      <c r="U445" s="3">
        <v>0</v>
      </c>
      <c r="V445" s="3">
        <v>0</v>
      </c>
      <c r="W445" s="3">
        <v>0</v>
      </c>
      <c r="X445" s="3">
        <v>0</v>
      </c>
      <c r="Y445" s="3">
        <v>0</v>
      </c>
      <c r="Z445" s="3">
        <v>0</v>
      </c>
      <c r="AA445" s="3">
        <v>0</v>
      </c>
      <c r="AB445" s="3">
        <v>0</v>
      </c>
      <c r="AC445" s="3">
        <v>0</v>
      </c>
      <c r="AD445" s="3">
        <v>0</v>
      </c>
      <c r="AE445" s="3">
        <v>0</v>
      </c>
      <c r="AF445" s="3">
        <v>0</v>
      </c>
    </row>
    <row r="446" spans="8:32" x14ac:dyDescent="0.35">
      <c r="H446" s="3" t="str">
        <v>Hf</v>
      </c>
      <c r="I446" s="3" t="str">
        <v>Hafnium</v>
      </c>
      <c r="J446" s="3" t="str">
        <v>Solid Beta</v>
      </c>
      <c r="K446" s="3" t="str">
        <v/>
      </c>
      <c r="L446" s="3" t="str">
        <v/>
      </c>
      <c r="M446" s="3">
        <v>5908</v>
      </c>
      <c r="N446" s="3">
        <v>2054</v>
      </c>
      <c r="O446" s="3">
        <v>298.14999999999998</v>
      </c>
      <c r="P446" s="3">
        <v>3000</v>
      </c>
      <c r="Q446" s="3">
        <v>14.9940370701174</v>
      </c>
      <c r="R446" s="3">
        <v>0</v>
      </c>
      <c r="S446" s="3">
        <v>9.2333061731504993E-3</v>
      </c>
      <c r="T446" s="3">
        <v>1</v>
      </c>
      <c r="U446" s="3">
        <v>0</v>
      </c>
      <c r="V446" s="3">
        <v>0</v>
      </c>
      <c r="W446" s="3">
        <v>0</v>
      </c>
      <c r="X446" s="3">
        <v>0</v>
      </c>
      <c r="Y446" s="3">
        <v>0</v>
      </c>
      <c r="Z446" s="3">
        <v>0</v>
      </c>
      <c r="AA446" s="3">
        <v>0</v>
      </c>
      <c r="AB446" s="3">
        <v>0</v>
      </c>
      <c r="AC446" s="3">
        <v>0</v>
      </c>
      <c r="AD446" s="3">
        <v>0</v>
      </c>
      <c r="AE446" s="3">
        <v>0</v>
      </c>
      <c r="AF446" s="3">
        <v>0</v>
      </c>
    </row>
    <row r="447" spans="8:32" x14ac:dyDescent="0.35">
      <c r="H447" s="3" t="str">
        <v>Hf</v>
      </c>
      <c r="I447" s="3" t="str">
        <v>Hafnium</v>
      </c>
      <c r="J447" s="3" t="str">
        <v>Solid Beta</v>
      </c>
      <c r="K447" s="3" t="str">
        <v/>
      </c>
      <c r="L447" s="3" t="str">
        <v/>
      </c>
      <c r="M447" s="3">
        <v>5908</v>
      </c>
      <c r="N447" s="3">
        <v>2054</v>
      </c>
      <c r="O447" s="3">
        <v>3000</v>
      </c>
      <c r="P447" s="3">
        <v>3001</v>
      </c>
      <c r="Q447" s="3">
        <v>37.655999999999999</v>
      </c>
      <c r="R447" s="3">
        <v>0</v>
      </c>
      <c r="S447" s="3">
        <v>0</v>
      </c>
      <c r="T447" s="3">
        <v>0</v>
      </c>
      <c r="U447" s="3">
        <v>0</v>
      </c>
      <c r="V447" s="3">
        <v>0</v>
      </c>
      <c r="W447" s="3">
        <v>0</v>
      </c>
      <c r="X447" s="3">
        <v>0</v>
      </c>
      <c r="Y447" s="3">
        <v>0</v>
      </c>
      <c r="Z447" s="3">
        <v>0</v>
      </c>
      <c r="AA447" s="3">
        <v>0</v>
      </c>
      <c r="AB447" s="3">
        <v>0</v>
      </c>
      <c r="AC447" s="3">
        <v>0</v>
      </c>
      <c r="AD447" s="3">
        <v>0</v>
      </c>
      <c r="AE447" s="3">
        <v>0</v>
      </c>
      <c r="AF447" s="3">
        <v>0</v>
      </c>
    </row>
    <row r="448" spans="8:32" x14ac:dyDescent="0.35">
      <c r="H448" s="3" t="str">
        <v>Hf</v>
      </c>
      <c r="I448" s="3" t="str">
        <v>Hafnium</v>
      </c>
      <c r="J448" s="3" t="str">
        <v>Liquid-1</v>
      </c>
      <c r="K448" s="3" t="str">
        <v/>
      </c>
      <c r="L448" s="3" t="str">
        <v/>
      </c>
      <c r="M448" s="3">
        <v>29288</v>
      </c>
      <c r="N448" s="3">
        <v>2500</v>
      </c>
      <c r="O448" s="3">
        <v>298.14999999999998</v>
      </c>
      <c r="P448" s="3">
        <v>1820</v>
      </c>
      <c r="Q448" s="3">
        <v>14.994004733118601</v>
      </c>
      <c r="R448" s="3">
        <v>0</v>
      </c>
      <c r="S448" s="3">
        <v>9.2333664840580192E-3</v>
      </c>
      <c r="T448" s="3">
        <v>1</v>
      </c>
      <c r="U448" s="3">
        <v>0</v>
      </c>
      <c r="V448" s="3">
        <v>0</v>
      </c>
      <c r="W448" s="3">
        <v>0</v>
      </c>
      <c r="X448" s="3">
        <v>0</v>
      </c>
      <c r="Y448" s="3">
        <v>0</v>
      </c>
      <c r="Z448" s="3">
        <v>0</v>
      </c>
      <c r="AA448" s="3">
        <v>0</v>
      </c>
      <c r="AB448" s="3">
        <v>0</v>
      </c>
      <c r="AC448" s="3">
        <v>0</v>
      </c>
      <c r="AD448" s="3">
        <v>0</v>
      </c>
      <c r="AE448" s="3">
        <v>0</v>
      </c>
      <c r="AF448" s="3">
        <v>0</v>
      </c>
    </row>
    <row r="449" spans="8:32" x14ac:dyDescent="0.35">
      <c r="H449" s="3" t="str">
        <v>Hf</v>
      </c>
      <c r="I449" s="3" t="str">
        <v>Hafnium</v>
      </c>
      <c r="J449" s="3" t="str">
        <v>Liquid-1</v>
      </c>
      <c r="K449" s="3" t="str">
        <v/>
      </c>
      <c r="L449" s="3" t="str">
        <v/>
      </c>
      <c r="M449" s="3">
        <v>29288</v>
      </c>
      <c r="N449" s="3">
        <v>2500</v>
      </c>
      <c r="O449" s="3">
        <v>1820</v>
      </c>
      <c r="P449" s="3">
        <v>5500</v>
      </c>
      <c r="Q449" s="3">
        <v>37.655999999999999</v>
      </c>
      <c r="R449" s="3">
        <v>0</v>
      </c>
      <c r="S449" s="3">
        <v>0</v>
      </c>
      <c r="T449" s="3">
        <v>0</v>
      </c>
      <c r="U449" s="3">
        <v>0</v>
      </c>
      <c r="V449" s="3">
        <v>0</v>
      </c>
      <c r="W449" s="3">
        <v>0</v>
      </c>
      <c r="X449" s="3">
        <v>0</v>
      </c>
      <c r="Y449" s="3">
        <v>0</v>
      </c>
      <c r="Z449" s="3">
        <v>0</v>
      </c>
      <c r="AA449" s="3">
        <v>0</v>
      </c>
      <c r="AB449" s="3">
        <v>0</v>
      </c>
      <c r="AC449" s="3">
        <v>0</v>
      </c>
      <c r="AD449" s="3">
        <v>0</v>
      </c>
      <c r="AE449" s="3">
        <v>0</v>
      </c>
      <c r="AF449" s="3">
        <v>0</v>
      </c>
    </row>
    <row r="450" spans="8:32" x14ac:dyDescent="0.35">
      <c r="H450" s="3" t="str">
        <v>Hf</v>
      </c>
      <c r="I450" s="3" t="str">
        <v>Hafnium</v>
      </c>
      <c r="J450" s="3" t="str">
        <v>Gas-1</v>
      </c>
      <c r="K450" s="3">
        <v>618395</v>
      </c>
      <c r="L450" s="3">
        <v>186.89699999999999</v>
      </c>
      <c r="M450" s="3" t="str">
        <v/>
      </c>
      <c r="N450" s="3" t="str">
        <v/>
      </c>
      <c r="O450" s="3">
        <v>298.14999999999998</v>
      </c>
      <c r="P450" s="3">
        <v>1400</v>
      </c>
      <c r="Q450" s="3">
        <v>-4.1502652546466603</v>
      </c>
      <c r="R450" s="3">
        <v>0</v>
      </c>
      <c r="S450" s="3">
        <v>3.1689417253477403E-2</v>
      </c>
      <c r="T450" s="3">
        <v>1</v>
      </c>
      <c r="U450" s="3">
        <v>-771928.93608998496</v>
      </c>
      <c r="V450" s="3">
        <v>-2</v>
      </c>
      <c r="W450" s="3">
        <v>-8.2789262427780003E-6</v>
      </c>
      <c r="X450" s="3">
        <v>2</v>
      </c>
      <c r="Y450" s="3">
        <v>7431.1409736913602</v>
      </c>
      <c r="Z450" s="3">
        <v>-1</v>
      </c>
      <c r="AA450" s="3">
        <v>0</v>
      </c>
      <c r="AB450" s="3">
        <v>0</v>
      </c>
      <c r="AC450" s="3">
        <v>0</v>
      </c>
      <c r="AD450" s="3">
        <v>0</v>
      </c>
      <c r="AE450" s="3">
        <v>0</v>
      </c>
      <c r="AF450" s="3">
        <v>0</v>
      </c>
    </row>
    <row r="451" spans="8:32" x14ac:dyDescent="0.35">
      <c r="H451" s="3" t="str">
        <v>Hf</v>
      </c>
      <c r="I451" s="3" t="str">
        <v>Hafnium</v>
      </c>
      <c r="J451" s="3" t="str">
        <v>Gas-1</v>
      </c>
      <c r="K451" s="3">
        <v>618395</v>
      </c>
      <c r="L451" s="3">
        <v>186.89699999999999</v>
      </c>
      <c r="M451" s="3" t="str">
        <v/>
      </c>
      <c r="N451" s="3" t="str">
        <v/>
      </c>
      <c r="O451" s="3">
        <v>1400</v>
      </c>
      <c r="P451" s="3">
        <v>4967.8</v>
      </c>
      <c r="Q451" s="3">
        <v>-556.24099843453996</v>
      </c>
      <c r="R451" s="3">
        <v>0</v>
      </c>
      <c r="S451" s="3">
        <v>4.54711378503041E-2</v>
      </c>
      <c r="T451" s="3">
        <v>1</v>
      </c>
      <c r="U451" s="3">
        <v>175880697.84049699</v>
      </c>
      <c r="V451" s="3">
        <v>-2</v>
      </c>
      <c r="W451" s="3">
        <v>-1.7439510116841301E-6</v>
      </c>
      <c r="X451" s="3">
        <v>2</v>
      </c>
      <c r="Y451" s="3">
        <v>-973964.98674899398</v>
      </c>
      <c r="Z451" s="3">
        <v>-1</v>
      </c>
      <c r="AA451" s="3">
        <v>42312.761389361403</v>
      </c>
      <c r="AB451" s="3">
        <v>-0.5</v>
      </c>
      <c r="AC451" s="3">
        <v>0</v>
      </c>
      <c r="AD451" s="3">
        <v>0</v>
      </c>
      <c r="AE451" s="3">
        <v>0</v>
      </c>
      <c r="AF451" s="3">
        <v>0</v>
      </c>
    </row>
    <row r="452" spans="8:32" x14ac:dyDescent="0.35">
      <c r="H452" s="3" t="str">
        <v>Hf</v>
      </c>
      <c r="I452" s="3" t="str">
        <v>Hafnium</v>
      </c>
      <c r="J452" s="3" t="str">
        <v>Gas-1</v>
      </c>
      <c r="K452" s="3">
        <v>618395</v>
      </c>
      <c r="L452" s="3">
        <v>186.89699999999999</v>
      </c>
      <c r="M452" s="3" t="str">
        <v/>
      </c>
      <c r="N452" s="3" t="str">
        <v/>
      </c>
      <c r="O452" s="3">
        <v>4967.8</v>
      </c>
      <c r="P452" s="3">
        <v>6000</v>
      </c>
      <c r="Q452" s="3">
        <v>322.67755874225998</v>
      </c>
      <c r="R452" s="3">
        <v>0</v>
      </c>
      <c r="S452" s="3">
        <v>-1154368640.3315499</v>
      </c>
      <c r="T452" s="3">
        <v>-2</v>
      </c>
      <c r="U452" s="3">
        <v>1895892.52127151</v>
      </c>
      <c r="V452" s="3">
        <v>-1</v>
      </c>
      <c r="W452" s="3">
        <v>-43665.868846885802</v>
      </c>
      <c r="X452" s="3">
        <v>-0.5</v>
      </c>
      <c r="Y452" s="3">
        <v>0</v>
      </c>
      <c r="Z452" s="3">
        <v>0</v>
      </c>
      <c r="AA452" s="3">
        <v>0</v>
      </c>
      <c r="AB452" s="3">
        <v>0</v>
      </c>
      <c r="AC452" s="3">
        <v>0</v>
      </c>
      <c r="AD452" s="3">
        <v>0</v>
      </c>
      <c r="AE452" s="3">
        <v>0</v>
      </c>
      <c r="AF452" s="3">
        <v>0</v>
      </c>
    </row>
    <row r="453" spans="8:32" x14ac:dyDescent="0.35">
      <c r="H453" s="3" t="str">
        <v>Ta</v>
      </c>
      <c r="I453" s="3" t="str">
        <v>Tantalum</v>
      </c>
      <c r="J453" s="3" t="str">
        <v>Solid-1</v>
      </c>
      <c r="K453" s="3">
        <v>0</v>
      </c>
      <c r="L453" s="3">
        <v>41.470999999999997</v>
      </c>
      <c r="M453" s="3" t="str">
        <v/>
      </c>
      <c r="N453" s="3" t="str">
        <v/>
      </c>
      <c r="O453" s="3">
        <v>298.14999999999998</v>
      </c>
      <c r="P453" s="3">
        <v>1400</v>
      </c>
      <c r="Q453" s="3">
        <v>-6.4246016112227098</v>
      </c>
      <c r="R453" s="3">
        <v>0</v>
      </c>
      <c r="S453" s="3">
        <v>7.8112118934593596E-3</v>
      </c>
      <c r="T453" s="3">
        <v>1</v>
      </c>
      <c r="U453" s="3">
        <v>1247847.29361492</v>
      </c>
      <c r="V453" s="3">
        <v>-2</v>
      </c>
      <c r="W453" s="3">
        <v>-20423.2687319213</v>
      </c>
      <c r="X453" s="3">
        <v>-1</v>
      </c>
      <c r="Y453" s="3">
        <v>1448.0911854921201</v>
      </c>
      <c r="Z453" s="3">
        <v>-0.5</v>
      </c>
      <c r="AA453" s="3">
        <v>0</v>
      </c>
      <c r="AB453" s="3">
        <v>0</v>
      </c>
      <c r="AC453" s="3">
        <v>0</v>
      </c>
      <c r="AD453" s="3">
        <v>0</v>
      </c>
      <c r="AE453" s="3">
        <v>0</v>
      </c>
      <c r="AF453" s="3">
        <v>0</v>
      </c>
    </row>
    <row r="454" spans="8:32" x14ac:dyDescent="0.35">
      <c r="H454" s="3" t="str">
        <v>Ta</v>
      </c>
      <c r="I454" s="3" t="str">
        <v>Tantalum</v>
      </c>
      <c r="J454" s="3" t="str">
        <v>Solid-1</v>
      </c>
      <c r="K454" s="3">
        <v>0</v>
      </c>
      <c r="L454" s="3">
        <v>41.470999999999997</v>
      </c>
      <c r="M454" s="3" t="str">
        <v/>
      </c>
      <c r="N454" s="3" t="str">
        <v/>
      </c>
      <c r="O454" s="3">
        <v>1400</v>
      </c>
      <c r="P454" s="3">
        <v>3258</v>
      </c>
      <c r="Q454" s="3">
        <v>3806.27349703348</v>
      </c>
      <c r="R454" s="3">
        <v>0</v>
      </c>
      <c r="S454" s="3">
        <v>-0.49235269980191698</v>
      </c>
      <c r="T454" s="3">
        <v>1</v>
      </c>
      <c r="U454" s="3">
        <v>-535272825.47470999</v>
      </c>
      <c r="V454" s="3">
        <v>-2</v>
      </c>
      <c r="W454" s="3">
        <v>4.3452896011824303E-5</v>
      </c>
      <c r="X454" s="3">
        <v>2</v>
      </c>
      <c r="Y454" s="3">
        <v>4141585.5489048501</v>
      </c>
      <c r="Z454" s="3">
        <v>-1</v>
      </c>
      <c r="AA454" s="3">
        <v>-219188.64088615699</v>
      </c>
      <c r="AB454" s="3">
        <v>-0.5</v>
      </c>
      <c r="AC454" s="3">
        <v>0</v>
      </c>
      <c r="AD454" s="3">
        <v>0</v>
      </c>
      <c r="AE454" s="3">
        <v>0</v>
      </c>
      <c r="AF454" s="3">
        <v>0</v>
      </c>
    </row>
    <row r="455" spans="8:32" x14ac:dyDescent="0.35">
      <c r="H455" s="3" t="str">
        <v>Ta</v>
      </c>
      <c r="I455" s="3" t="str">
        <v>Tantalum</v>
      </c>
      <c r="J455" s="3" t="str">
        <v>Solid-1</v>
      </c>
      <c r="K455" s="3">
        <v>0</v>
      </c>
      <c r="L455" s="3">
        <v>41.470999999999997</v>
      </c>
      <c r="M455" s="3" t="str">
        <v/>
      </c>
      <c r="N455" s="3" t="str">
        <v/>
      </c>
      <c r="O455" s="3">
        <v>3258</v>
      </c>
      <c r="P455" s="3">
        <v>3800</v>
      </c>
      <c r="Q455" s="3">
        <v>3875.8317484384702</v>
      </c>
      <c r="R455" s="3">
        <v>0</v>
      </c>
      <c r="S455" s="3">
        <v>-10614976784.588499</v>
      </c>
      <c r="T455" s="3">
        <v>-2</v>
      </c>
      <c r="U455" s="3">
        <v>21824895.9549427</v>
      </c>
      <c r="V455" s="3">
        <v>-1</v>
      </c>
      <c r="W455" s="3">
        <v>-543993.64066097105</v>
      </c>
      <c r="X455" s="3">
        <v>-0.5</v>
      </c>
      <c r="Y455" s="3">
        <v>0</v>
      </c>
      <c r="Z455" s="3">
        <v>0</v>
      </c>
      <c r="AA455" s="3">
        <v>0</v>
      </c>
      <c r="AB455" s="3">
        <v>0</v>
      </c>
      <c r="AC455" s="3">
        <v>0</v>
      </c>
      <c r="AD455" s="3">
        <v>0</v>
      </c>
      <c r="AE455" s="3">
        <v>0</v>
      </c>
      <c r="AF455" s="3">
        <v>0</v>
      </c>
    </row>
    <row r="456" spans="8:32" x14ac:dyDescent="0.35">
      <c r="H456" s="3" t="str">
        <v>Ta</v>
      </c>
      <c r="I456" s="3" t="str">
        <v>Tantalum</v>
      </c>
      <c r="J456" s="3" t="str">
        <v>Liquid-1</v>
      </c>
      <c r="K456" s="3" t="str">
        <v/>
      </c>
      <c r="L456" s="3" t="str">
        <v/>
      </c>
      <c r="M456" s="3">
        <v>36570</v>
      </c>
      <c r="N456" s="3">
        <v>3258</v>
      </c>
      <c r="O456" s="3">
        <v>298.14999999999998</v>
      </c>
      <c r="P456" s="3">
        <v>900</v>
      </c>
      <c r="Q456" s="3">
        <v>18.090788604259401</v>
      </c>
      <c r="R456" s="3">
        <v>0</v>
      </c>
      <c r="S456" s="3">
        <v>1.5807872523442498E-2</v>
      </c>
      <c r="T456" s="3">
        <v>1</v>
      </c>
      <c r="U456" s="3">
        <v>-124922.734043538</v>
      </c>
      <c r="V456" s="3">
        <v>-2</v>
      </c>
      <c r="W456" s="3">
        <v>-7.4291900753486096E-6</v>
      </c>
      <c r="X456" s="3">
        <v>2</v>
      </c>
      <c r="Y456" s="3">
        <v>1359.8038383242299</v>
      </c>
      <c r="Z456" s="3">
        <v>-1</v>
      </c>
      <c r="AA456" s="3">
        <v>0</v>
      </c>
      <c r="AB456" s="3">
        <v>0</v>
      </c>
      <c r="AC456" s="3">
        <v>0</v>
      </c>
      <c r="AD456" s="3">
        <v>0</v>
      </c>
      <c r="AE456" s="3">
        <v>0</v>
      </c>
      <c r="AF456" s="3">
        <v>0</v>
      </c>
    </row>
    <row r="457" spans="8:32" x14ac:dyDescent="0.35">
      <c r="H457" s="3" t="str">
        <v>Ta</v>
      </c>
      <c r="I457" s="3" t="str">
        <v>Tantalum</v>
      </c>
      <c r="J457" s="3" t="str">
        <v>Liquid-1</v>
      </c>
      <c r="K457" s="3" t="str">
        <v/>
      </c>
      <c r="L457" s="3" t="str">
        <v/>
      </c>
      <c r="M457" s="3">
        <v>36570</v>
      </c>
      <c r="N457" s="3">
        <v>3258</v>
      </c>
      <c r="O457" s="3">
        <v>900</v>
      </c>
      <c r="P457" s="3">
        <v>1700</v>
      </c>
      <c r="Q457" s="3">
        <v>-873.675951818366</v>
      </c>
      <c r="R457" s="3">
        <v>0</v>
      </c>
      <c r="S457" s="3">
        <v>7.7451561953776504E-2</v>
      </c>
      <c r="T457" s="3">
        <v>1</v>
      </c>
      <c r="U457" s="3">
        <v>161519876.032877</v>
      </c>
      <c r="V457" s="3">
        <v>-2</v>
      </c>
      <c r="W457" s="3">
        <v>-1161483.8394357399</v>
      </c>
      <c r="X457" s="3">
        <v>-1</v>
      </c>
      <c r="Y457" s="3">
        <v>57682.703656256199</v>
      </c>
      <c r="Z457" s="3">
        <v>-0.5</v>
      </c>
      <c r="AA457" s="3">
        <v>0</v>
      </c>
      <c r="AB457" s="3">
        <v>0</v>
      </c>
      <c r="AC457" s="3">
        <v>0</v>
      </c>
      <c r="AD457" s="3">
        <v>0</v>
      </c>
      <c r="AE457" s="3">
        <v>0</v>
      </c>
      <c r="AF457" s="3">
        <v>0</v>
      </c>
    </row>
    <row r="458" spans="8:32" x14ac:dyDescent="0.35">
      <c r="H458" s="3" t="str">
        <v>Ta</v>
      </c>
      <c r="I458" s="3" t="str">
        <v>Tantalum</v>
      </c>
      <c r="J458" s="3" t="str">
        <v>Liquid-1</v>
      </c>
      <c r="K458" s="3" t="str">
        <v/>
      </c>
      <c r="L458" s="3" t="str">
        <v/>
      </c>
      <c r="M458" s="3">
        <v>36570</v>
      </c>
      <c r="N458" s="3">
        <v>3258</v>
      </c>
      <c r="O458" s="3">
        <v>1700</v>
      </c>
      <c r="P458" s="3">
        <v>2150</v>
      </c>
      <c r="Q458" s="3">
        <v>20.995685673485202</v>
      </c>
      <c r="R458" s="3">
        <v>0</v>
      </c>
      <c r="S458" s="3">
        <v>5.1003052311529903E-3</v>
      </c>
      <c r="T458" s="3">
        <v>1</v>
      </c>
      <c r="U458" s="3">
        <v>0</v>
      </c>
      <c r="V458" s="3">
        <v>0</v>
      </c>
      <c r="W458" s="3">
        <v>0</v>
      </c>
      <c r="X458" s="3">
        <v>0</v>
      </c>
      <c r="Y458" s="3">
        <v>0</v>
      </c>
      <c r="Z458" s="3">
        <v>0</v>
      </c>
      <c r="AA458" s="3">
        <v>0</v>
      </c>
      <c r="AB458" s="3">
        <v>0</v>
      </c>
      <c r="AC458" s="3">
        <v>0</v>
      </c>
      <c r="AD458" s="3">
        <v>0</v>
      </c>
      <c r="AE458" s="3">
        <v>0</v>
      </c>
      <c r="AF458" s="3">
        <v>0</v>
      </c>
    </row>
    <row r="459" spans="8:32" x14ac:dyDescent="0.35">
      <c r="H459" s="3" t="str">
        <v>Ta</v>
      </c>
      <c r="I459" s="3" t="str">
        <v>Tantalum</v>
      </c>
      <c r="J459" s="3" t="str">
        <v>Liquid-1</v>
      </c>
      <c r="K459" s="3" t="str">
        <v/>
      </c>
      <c r="L459" s="3" t="str">
        <v/>
      </c>
      <c r="M459" s="3">
        <v>36570</v>
      </c>
      <c r="N459" s="3">
        <v>3258</v>
      </c>
      <c r="O459" s="3">
        <v>2150</v>
      </c>
      <c r="P459" s="3">
        <v>6000</v>
      </c>
      <c r="Q459" s="3">
        <v>41.84</v>
      </c>
      <c r="R459" s="3">
        <v>0</v>
      </c>
      <c r="S459" s="3">
        <v>0</v>
      </c>
      <c r="T459" s="3">
        <v>0</v>
      </c>
      <c r="U459" s="3">
        <v>0</v>
      </c>
      <c r="V459" s="3">
        <v>0</v>
      </c>
      <c r="W459" s="3">
        <v>0</v>
      </c>
      <c r="X459" s="3">
        <v>0</v>
      </c>
      <c r="Y459" s="3">
        <v>0</v>
      </c>
      <c r="Z459" s="3">
        <v>0</v>
      </c>
      <c r="AA459" s="3">
        <v>0</v>
      </c>
      <c r="AB459" s="3">
        <v>0</v>
      </c>
      <c r="AC459" s="3">
        <v>0</v>
      </c>
      <c r="AD459" s="3">
        <v>0</v>
      </c>
      <c r="AE459" s="3">
        <v>0</v>
      </c>
      <c r="AF459" s="3">
        <v>0</v>
      </c>
    </row>
    <row r="460" spans="8:32" x14ac:dyDescent="0.35">
      <c r="H460" s="3" t="str">
        <v>Ta</v>
      </c>
      <c r="I460" s="3" t="str">
        <v>Tantalum</v>
      </c>
      <c r="J460" s="3" t="str">
        <v>Gas-1</v>
      </c>
      <c r="K460" s="3">
        <v>781990</v>
      </c>
      <c r="L460" s="3">
        <v>185.21899999999999</v>
      </c>
      <c r="M460" s="3" t="str">
        <v/>
      </c>
      <c r="N460" s="3" t="str">
        <v/>
      </c>
      <c r="O460" s="3">
        <v>298.14999999999998</v>
      </c>
      <c r="P460" s="3">
        <v>2000</v>
      </c>
      <c r="Q460" s="3">
        <v>106.270789388162</v>
      </c>
      <c r="R460" s="3">
        <v>0</v>
      </c>
      <c r="S460" s="3">
        <v>-7.0390752643418597E-3</v>
      </c>
      <c r="T460" s="3">
        <v>1</v>
      </c>
      <c r="U460" s="3">
        <v>-2084174.4354870501</v>
      </c>
      <c r="V460" s="3">
        <v>-2</v>
      </c>
      <c r="W460" s="3">
        <v>44227.5816217334</v>
      </c>
      <c r="X460" s="3">
        <v>-1</v>
      </c>
      <c r="Y460" s="3">
        <v>-3595.0599691440498</v>
      </c>
      <c r="Z460" s="3">
        <v>-0.5</v>
      </c>
      <c r="AA460" s="3">
        <v>0</v>
      </c>
      <c r="AB460" s="3">
        <v>0</v>
      </c>
      <c r="AC460" s="3">
        <v>0</v>
      </c>
      <c r="AD460" s="3">
        <v>0</v>
      </c>
      <c r="AE460" s="3">
        <v>0</v>
      </c>
      <c r="AF460" s="3">
        <v>0</v>
      </c>
    </row>
    <row r="461" spans="8:32" x14ac:dyDescent="0.35">
      <c r="H461" s="3" t="str">
        <v>Ta</v>
      </c>
      <c r="I461" s="3" t="str">
        <v>Tantalum</v>
      </c>
      <c r="J461" s="3" t="str">
        <v>Gas-1</v>
      </c>
      <c r="K461" s="3">
        <v>781990</v>
      </c>
      <c r="L461" s="3">
        <v>185.21899999999999</v>
      </c>
      <c r="M461" s="3" t="str">
        <v/>
      </c>
      <c r="N461" s="3" t="str">
        <v/>
      </c>
      <c r="O461" s="3">
        <v>2000</v>
      </c>
      <c r="P461" s="3">
        <v>4000</v>
      </c>
      <c r="Q461" s="3">
        <v>76.540758975266996</v>
      </c>
      <c r="R461" s="3">
        <v>0</v>
      </c>
      <c r="S461" s="3">
        <v>9.0690937086161595E-4</v>
      </c>
      <c r="T461" s="3">
        <v>1</v>
      </c>
      <c r="U461" s="3">
        <v>-69035745.967657894</v>
      </c>
      <c r="V461" s="3">
        <v>-2</v>
      </c>
      <c r="W461" s="3">
        <v>173332.188025182</v>
      </c>
      <c r="X461" s="3">
        <v>-1</v>
      </c>
      <c r="Y461" s="3">
        <v>-5114.5284968487904</v>
      </c>
      <c r="Z461" s="3">
        <v>-0.5</v>
      </c>
      <c r="AA461" s="3">
        <v>0</v>
      </c>
      <c r="AB461" s="3">
        <v>0</v>
      </c>
      <c r="AC461" s="3">
        <v>0</v>
      </c>
      <c r="AD461" s="3">
        <v>0</v>
      </c>
      <c r="AE461" s="3">
        <v>0</v>
      </c>
      <c r="AF461" s="3">
        <v>0</v>
      </c>
    </row>
    <row r="462" spans="8:32" x14ac:dyDescent="0.35">
      <c r="H462" s="3" t="str">
        <v>Ta</v>
      </c>
      <c r="I462" s="3" t="str">
        <v>Tantalum</v>
      </c>
      <c r="J462" s="3" t="str">
        <v>Gas-1</v>
      </c>
      <c r="K462" s="3">
        <v>781990</v>
      </c>
      <c r="L462" s="3">
        <v>185.21899999999999</v>
      </c>
      <c r="M462" s="3" t="str">
        <v/>
      </c>
      <c r="N462" s="3" t="str">
        <v/>
      </c>
      <c r="O462" s="3">
        <v>4000</v>
      </c>
      <c r="P462" s="3">
        <v>6000</v>
      </c>
      <c r="Q462" s="3">
        <v>435.03031517115102</v>
      </c>
      <c r="R462" s="3">
        <v>0</v>
      </c>
      <c r="S462" s="3">
        <v>-2125166019.93782</v>
      </c>
      <c r="T462" s="3">
        <v>-2</v>
      </c>
      <c r="U462" s="3">
        <v>3094896.4189085299</v>
      </c>
      <c r="V462" s="3">
        <v>-1</v>
      </c>
      <c r="W462" s="3">
        <v>-65624.3848172578</v>
      </c>
      <c r="X462" s="3">
        <v>-0.5</v>
      </c>
      <c r="Y462" s="3">
        <v>0</v>
      </c>
      <c r="Z462" s="3">
        <v>0</v>
      </c>
      <c r="AA462" s="3">
        <v>0</v>
      </c>
      <c r="AB462" s="3">
        <v>0</v>
      </c>
      <c r="AC462" s="3">
        <v>0</v>
      </c>
      <c r="AD462" s="3">
        <v>0</v>
      </c>
      <c r="AE462" s="3">
        <v>0</v>
      </c>
      <c r="AF462" s="3">
        <v>0</v>
      </c>
    </row>
    <row r="463" spans="8:32" x14ac:dyDescent="0.35">
      <c r="H463" s="3" t="str">
        <v>W</v>
      </c>
      <c r="I463" s="3" t="str">
        <v>Tungsten</v>
      </c>
      <c r="J463" s="3" t="str">
        <v>Solid-1</v>
      </c>
      <c r="K463" s="3">
        <v>0</v>
      </c>
      <c r="L463" s="3">
        <v>32.659999999999997</v>
      </c>
      <c r="M463" s="3" t="str">
        <v/>
      </c>
      <c r="N463" s="3" t="str">
        <v/>
      </c>
      <c r="O463" s="3">
        <v>298.14999999999998</v>
      </c>
      <c r="P463" s="3">
        <v>2300</v>
      </c>
      <c r="Q463" s="3">
        <v>21.9431411202406</v>
      </c>
      <c r="R463" s="3">
        <v>0</v>
      </c>
      <c r="S463" s="3">
        <v>4.9831222075003203E-3</v>
      </c>
      <c r="T463" s="3">
        <v>1</v>
      </c>
      <c r="U463" s="3">
        <v>-155358.822383872</v>
      </c>
      <c r="V463" s="3">
        <v>-2</v>
      </c>
      <c r="W463" s="3">
        <v>779.62420000362999</v>
      </c>
      <c r="X463" s="3">
        <v>-1</v>
      </c>
      <c r="Y463" s="3">
        <v>0</v>
      </c>
      <c r="Z463" s="3">
        <v>0</v>
      </c>
      <c r="AA463" s="3">
        <v>0</v>
      </c>
      <c r="AB463" s="3">
        <v>0</v>
      </c>
      <c r="AC463" s="3">
        <v>0</v>
      </c>
      <c r="AD463" s="3">
        <v>0</v>
      </c>
      <c r="AE463" s="3">
        <v>0</v>
      </c>
      <c r="AF463" s="3">
        <v>0</v>
      </c>
    </row>
    <row r="464" spans="8:32" x14ac:dyDescent="0.35">
      <c r="H464" s="3" t="str">
        <v>W</v>
      </c>
      <c r="I464" s="3" t="str">
        <v>Tungsten</v>
      </c>
      <c r="J464" s="3" t="str">
        <v>Solid-1</v>
      </c>
      <c r="K464" s="3">
        <v>0</v>
      </c>
      <c r="L464" s="3">
        <v>32.659999999999997</v>
      </c>
      <c r="M464" s="3" t="str">
        <v/>
      </c>
      <c r="N464" s="3" t="str">
        <v/>
      </c>
      <c r="O464" s="3">
        <v>2300</v>
      </c>
      <c r="P464" s="3">
        <v>3680</v>
      </c>
      <c r="Q464" s="3">
        <v>-7507.50171853549</v>
      </c>
      <c r="R464" s="3">
        <v>0</v>
      </c>
      <c r="S464" s="3">
        <v>8021311027.3276396</v>
      </c>
      <c r="T464" s="3">
        <v>-2</v>
      </c>
      <c r="U464" s="3">
        <v>4.3271194638787997E-5</v>
      </c>
      <c r="V464" s="3">
        <v>2</v>
      </c>
      <c r="W464" s="3">
        <v>-25186285.033659101</v>
      </c>
      <c r="X464" s="3">
        <v>-1</v>
      </c>
      <c r="Y464" s="3">
        <v>803136.50840749999</v>
      </c>
      <c r="Z464" s="3">
        <v>-0.5</v>
      </c>
      <c r="AA464" s="3">
        <v>0</v>
      </c>
      <c r="AB464" s="3">
        <v>0</v>
      </c>
      <c r="AC464" s="3">
        <v>0</v>
      </c>
      <c r="AD464" s="3">
        <v>0</v>
      </c>
      <c r="AE464" s="3">
        <v>0</v>
      </c>
      <c r="AF464" s="3">
        <v>0</v>
      </c>
    </row>
    <row r="465" spans="8:32" x14ac:dyDescent="0.35">
      <c r="H465" s="3" t="str">
        <v>W</v>
      </c>
      <c r="I465" s="3" t="str">
        <v>Tungsten</v>
      </c>
      <c r="J465" s="3" t="str">
        <v>Solid-1</v>
      </c>
      <c r="K465" s="3">
        <v>0</v>
      </c>
      <c r="L465" s="3">
        <v>32.659999999999997</v>
      </c>
      <c r="M465" s="3" t="str">
        <v/>
      </c>
      <c r="N465" s="3" t="str">
        <v/>
      </c>
      <c r="O465" s="3">
        <v>3680</v>
      </c>
      <c r="P465" s="3">
        <v>3800</v>
      </c>
      <c r="Q465" s="3">
        <v>-132.369231475931</v>
      </c>
      <c r="R465" s="3">
        <v>0</v>
      </c>
      <c r="S465" s="3">
        <v>5.4362958263419497E-2</v>
      </c>
      <c r="T465" s="3">
        <v>1</v>
      </c>
      <c r="U465" s="3">
        <v>-22580204.804769602</v>
      </c>
      <c r="V465" s="3">
        <v>-2</v>
      </c>
      <c r="W465" s="3">
        <v>0</v>
      </c>
      <c r="X465" s="3">
        <v>0</v>
      </c>
      <c r="Y465" s="3">
        <v>0</v>
      </c>
      <c r="Z465" s="3">
        <v>0</v>
      </c>
      <c r="AA465" s="3">
        <v>0</v>
      </c>
      <c r="AB465" s="3">
        <v>0</v>
      </c>
      <c r="AC465" s="3">
        <v>0</v>
      </c>
      <c r="AD465" s="3">
        <v>0</v>
      </c>
      <c r="AE465" s="3">
        <v>0</v>
      </c>
      <c r="AF465" s="3">
        <v>0</v>
      </c>
    </row>
    <row r="466" spans="8:32" x14ac:dyDescent="0.35">
      <c r="H466" s="3" t="str">
        <v>W</v>
      </c>
      <c r="I466" s="3" t="str">
        <v>Tungsten</v>
      </c>
      <c r="J466" s="3" t="str">
        <v>Solid-1</v>
      </c>
      <c r="K466" s="3">
        <v>0</v>
      </c>
      <c r="L466" s="3">
        <v>32.659999999999997</v>
      </c>
      <c r="M466" s="3" t="str">
        <v/>
      </c>
      <c r="N466" s="3" t="str">
        <v/>
      </c>
      <c r="O466" s="3">
        <v>3800</v>
      </c>
      <c r="P466" s="3">
        <v>3801</v>
      </c>
      <c r="Q466" s="3">
        <v>35.564</v>
      </c>
      <c r="R466" s="3">
        <v>0</v>
      </c>
      <c r="S466" s="3">
        <v>0</v>
      </c>
      <c r="T466" s="3">
        <v>0</v>
      </c>
      <c r="U466" s="3">
        <v>0</v>
      </c>
      <c r="V466" s="3">
        <v>0</v>
      </c>
      <c r="W466" s="3">
        <v>0</v>
      </c>
      <c r="X466" s="3">
        <v>0</v>
      </c>
      <c r="Y466" s="3">
        <v>0</v>
      </c>
      <c r="Z466" s="3">
        <v>0</v>
      </c>
      <c r="AA466" s="3">
        <v>0</v>
      </c>
      <c r="AB466" s="3">
        <v>0</v>
      </c>
      <c r="AC466" s="3">
        <v>0</v>
      </c>
      <c r="AD466" s="3">
        <v>0</v>
      </c>
      <c r="AE466" s="3">
        <v>0</v>
      </c>
      <c r="AF466" s="3">
        <v>0</v>
      </c>
    </row>
    <row r="467" spans="8:32" x14ac:dyDescent="0.35">
      <c r="H467" s="3" t="str">
        <v>W</v>
      </c>
      <c r="I467" s="3" t="str">
        <v>Tungsten</v>
      </c>
      <c r="J467" s="3" t="str">
        <v>Liquid-1</v>
      </c>
      <c r="K467" s="3" t="str">
        <v/>
      </c>
      <c r="L467" s="3" t="str">
        <v/>
      </c>
      <c r="M467" s="3">
        <v>35400</v>
      </c>
      <c r="N467" s="3">
        <v>3680</v>
      </c>
      <c r="O467" s="3">
        <v>298.14999999999998</v>
      </c>
      <c r="P467" s="3">
        <v>2450</v>
      </c>
      <c r="Q467" s="3">
        <v>23.445031614113301</v>
      </c>
      <c r="R467" s="3">
        <v>0</v>
      </c>
      <c r="S467" s="3">
        <v>3.9151764299588301E-3</v>
      </c>
      <c r="T467" s="3">
        <v>1</v>
      </c>
      <c r="U467" s="3">
        <v>-27838.136640793698</v>
      </c>
      <c r="V467" s="3">
        <v>-2</v>
      </c>
      <c r="W467" s="3">
        <v>2.4423013210393E-7</v>
      </c>
      <c r="X467" s="3">
        <v>2</v>
      </c>
      <c r="Y467" s="3">
        <v>0</v>
      </c>
      <c r="Z467" s="3">
        <v>0</v>
      </c>
      <c r="AA467" s="3">
        <v>0</v>
      </c>
      <c r="AB467" s="3">
        <v>0</v>
      </c>
      <c r="AC467" s="3">
        <v>0</v>
      </c>
      <c r="AD467" s="3">
        <v>0</v>
      </c>
      <c r="AE467" s="3">
        <v>0</v>
      </c>
      <c r="AF467" s="3">
        <v>0</v>
      </c>
    </row>
    <row r="468" spans="8:32" x14ac:dyDescent="0.35">
      <c r="H468" s="3" t="str">
        <v>W</v>
      </c>
      <c r="I468" s="3" t="str">
        <v>Tungsten</v>
      </c>
      <c r="J468" s="3" t="str">
        <v>Liquid-1</v>
      </c>
      <c r="K468" s="3" t="str">
        <v/>
      </c>
      <c r="L468" s="3" t="str">
        <v/>
      </c>
      <c r="M468" s="3">
        <v>35400</v>
      </c>
      <c r="N468" s="3">
        <v>3680</v>
      </c>
      <c r="O468" s="3">
        <v>2450</v>
      </c>
      <c r="P468" s="3">
        <v>6000</v>
      </c>
      <c r="Q468" s="3">
        <v>35.564</v>
      </c>
      <c r="R468" s="3">
        <v>0</v>
      </c>
      <c r="S468" s="3">
        <v>0</v>
      </c>
      <c r="T468" s="3">
        <v>0</v>
      </c>
      <c r="U468" s="3">
        <v>0</v>
      </c>
      <c r="V468" s="3">
        <v>0</v>
      </c>
      <c r="W468" s="3">
        <v>0</v>
      </c>
      <c r="X468" s="3">
        <v>0</v>
      </c>
      <c r="Y468" s="3">
        <v>0</v>
      </c>
      <c r="Z468" s="3">
        <v>0</v>
      </c>
      <c r="AA468" s="3">
        <v>0</v>
      </c>
      <c r="AB468" s="3">
        <v>0</v>
      </c>
      <c r="AC468" s="3">
        <v>0</v>
      </c>
      <c r="AD468" s="3">
        <v>0</v>
      </c>
      <c r="AE468" s="3">
        <v>0</v>
      </c>
      <c r="AF468" s="3">
        <v>0</v>
      </c>
    </row>
    <row r="469" spans="8:32" x14ac:dyDescent="0.35">
      <c r="H469" s="3" t="str">
        <v>W</v>
      </c>
      <c r="I469" s="3" t="str">
        <v>Tungsten</v>
      </c>
      <c r="J469" s="3" t="str">
        <v>Gas-1</v>
      </c>
      <c r="K469" s="3">
        <v>851026</v>
      </c>
      <c r="L469" s="3">
        <v>173.95400000000001</v>
      </c>
      <c r="M469" s="3" t="str">
        <v/>
      </c>
      <c r="N469" s="3" t="str">
        <v/>
      </c>
      <c r="O469" s="3">
        <v>298.14999999999998</v>
      </c>
      <c r="P469" s="3">
        <v>1000</v>
      </c>
      <c r="Q469" s="3">
        <v>166.36117832752601</v>
      </c>
      <c r="R469" s="3">
        <v>0</v>
      </c>
      <c r="S469" s="3">
        <v>-3.4206248151704401E-2</v>
      </c>
      <c r="T469" s="3">
        <v>1</v>
      </c>
      <c r="U469" s="3">
        <v>-37138.812668405502</v>
      </c>
      <c r="V469" s="3">
        <v>-2</v>
      </c>
      <c r="W469" s="3">
        <v>33868.581902745798</v>
      </c>
      <c r="X469" s="3">
        <v>-1</v>
      </c>
      <c r="Y469" s="3">
        <v>-4282.6835192324097</v>
      </c>
      <c r="Z469" s="3">
        <v>-0.5</v>
      </c>
      <c r="AA469" s="3">
        <v>0</v>
      </c>
      <c r="AB469" s="3">
        <v>0</v>
      </c>
      <c r="AC469" s="3">
        <v>0</v>
      </c>
      <c r="AD469" s="3">
        <v>0</v>
      </c>
      <c r="AE469" s="3">
        <v>0</v>
      </c>
      <c r="AF469" s="3">
        <v>0</v>
      </c>
    </row>
    <row r="470" spans="8:32" x14ac:dyDescent="0.35">
      <c r="H470" s="3" t="str">
        <v>W</v>
      </c>
      <c r="I470" s="3" t="str">
        <v>Tungsten</v>
      </c>
      <c r="J470" s="3" t="str">
        <v>Gas-1</v>
      </c>
      <c r="K470" s="3">
        <v>851026</v>
      </c>
      <c r="L470" s="3">
        <v>173.95400000000001</v>
      </c>
      <c r="M470" s="3" t="str">
        <v/>
      </c>
      <c r="N470" s="3" t="str">
        <v/>
      </c>
      <c r="O470" s="3">
        <v>1000</v>
      </c>
      <c r="P470" s="3">
        <v>3600</v>
      </c>
      <c r="Q470" s="3">
        <v>-1140.54569455709</v>
      </c>
      <c r="R470" s="3">
        <v>0</v>
      </c>
      <c r="S470" s="3">
        <v>0.119366414766353</v>
      </c>
      <c r="T470" s="3">
        <v>1</v>
      </c>
      <c r="U470" s="3">
        <v>208626070.73357001</v>
      </c>
      <c r="V470" s="3">
        <v>-2</v>
      </c>
      <c r="W470" s="3">
        <v>-5.9573214563086101E-6</v>
      </c>
      <c r="X470" s="3">
        <v>2</v>
      </c>
      <c r="Y470" s="3">
        <v>-1468070.5002095101</v>
      </c>
      <c r="Z470" s="3">
        <v>-1</v>
      </c>
      <c r="AA470" s="3">
        <v>73274.307597679799</v>
      </c>
      <c r="AB470" s="3">
        <v>-0.5</v>
      </c>
      <c r="AC470" s="3">
        <v>0</v>
      </c>
      <c r="AD470" s="3">
        <v>0</v>
      </c>
      <c r="AE470" s="3">
        <v>0</v>
      </c>
      <c r="AF470" s="3">
        <v>0</v>
      </c>
    </row>
    <row r="471" spans="8:32" x14ac:dyDescent="0.35">
      <c r="H471" s="3" t="str">
        <v>W</v>
      </c>
      <c r="I471" s="3" t="str">
        <v>Tungsten</v>
      </c>
      <c r="J471" s="3" t="str">
        <v>Gas-1</v>
      </c>
      <c r="K471" s="3">
        <v>851026</v>
      </c>
      <c r="L471" s="3">
        <v>173.95400000000001</v>
      </c>
      <c r="M471" s="3" t="str">
        <v/>
      </c>
      <c r="N471" s="3" t="str">
        <v/>
      </c>
      <c r="O471" s="3">
        <v>3600</v>
      </c>
      <c r="P471" s="3">
        <v>6000</v>
      </c>
      <c r="Q471" s="3">
        <v>-564.04207945488304</v>
      </c>
      <c r="R471" s="3">
        <v>0</v>
      </c>
      <c r="S471" s="3">
        <v>3399740408.8796</v>
      </c>
      <c r="T471" s="3">
        <v>-2</v>
      </c>
      <c r="U471" s="3">
        <v>-5273619.96649912</v>
      </c>
      <c r="V471" s="3">
        <v>-1</v>
      </c>
      <c r="W471" s="3">
        <v>108486.97006339701</v>
      </c>
      <c r="X471" s="3">
        <v>-0.5</v>
      </c>
      <c r="Y471" s="3">
        <v>0</v>
      </c>
      <c r="Z471" s="3">
        <v>0</v>
      </c>
      <c r="AA471" s="3">
        <v>0</v>
      </c>
      <c r="AB471" s="3">
        <v>0</v>
      </c>
      <c r="AC471" s="3">
        <v>0</v>
      </c>
      <c r="AD471" s="3">
        <v>0</v>
      </c>
      <c r="AE471" s="3">
        <v>0</v>
      </c>
      <c r="AF471" s="3">
        <v>0</v>
      </c>
    </row>
    <row r="472" spans="8:32" x14ac:dyDescent="0.35">
      <c r="H472" s="3" t="str">
        <v>Re</v>
      </c>
      <c r="I472" s="3" t="str">
        <v>Rhenium</v>
      </c>
      <c r="J472" s="3" t="str">
        <v>Solid</v>
      </c>
      <c r="K472" s="3">
        <v>0</v>
      </c>
      <c r="L472" s="3">
        <v>36.526320000000005</v>
      </c>
      <c r="M472" s="3" t="str">
        <v/>
      </c>
      <c r="N472" s="3" t="str">
        <v/>
      </c>
      <c r="O472" s="3">
        <v>298</v>
      </c>
      <c r="P472" s="3">
        <v>3453</v>
      </c>
      <c r="Q472" s="3">
        <v>5.6619999999999999</v>
      </c>
      <c r="R472" s="3">
        <v>0</v>
      </c>
      <c r="S472" s="3">
        <v>1.302E-3</v>
      </c>
      <c r="T472" s="3">
        <v>1</v>
      </c>
      <c r="U472" s="3">
        <v>0</v>
      </c>
      <c r="V472" s="3">
        <v>0</v>
      </c>
      <c r="W472" s="3">
        <v>0</v>
      </c>
      <c r="X472" s="3">
        <v>0</v>
      </c>
      <c r="Y472" s="3">
        <v>0</v>
      </c>
      <c r="Z472" s="3">
        <v>0</v>
      </c>
      <c r="AA472" s="3">
        <v>0</v>
      </c>
      <c r="AB472" s="3">
        <v>0</v>
      </c>
      <c r="AC472" s="3">
        <v>0</v>
      </c>
      <c r="AD472" s="3">
        <v>0</v>
      </c>
      <c r="AE472" s="3">
        <v>0</v>
      </c>
      <c r="AF472" s="3">
        <v>0</v>
      </c>
    </row>
    <row r="473" spans="8:32" x14ac:dyDescent="0.35">
      <c r="H473" s="3" t="str">
        <v>Re</v>
      </c>
      <c r="I473" s="3" t="str">
        <v>Rhenium</v>
      </c>
      <c r="J473" s="3" t="str">
        <v>Liquid</v>
      </c>
      <c r="K473" s="3" t="str">
        <v/>
      </c>
      <c r="L473" s="3" t="str">
        <v/>
      </c>
      <c r="M473" s="3">
        <v>33229.328000000001</v>
      </c>
      <c r="N473" s="3">
        <v>3453</v>
      </c>
      <c r="O473" s="3">
        <v>3453</v>
      </c>
      <c r="P473" s="3">
        <v>4200</v>
      </c>
      <c r="Q473" s="3">
        <v>10</v>
      </c>
      <c r="R473" s="3">
        <v>0</v>
      </c>
      <c r="S473" s="3">
        <v>0</v>
      </c>
      <c r="T473" s="3">
        <v>0</v>
      </c>
      <c r="U473" s="3">
        <v>0</v>
      </c>
      <c r="V473" s="3">
        <v>0</v>
      </c>
      <c r="W473" s="3">
        <v>0</v>
      </c>
      <c r="X473" s="3">
        <v>0</v>
      </c>
      <c r="Y473" s="3">
        <v>0</v>
      </c>
      <c r="Z473" s="3">
        <v>0</v>
      </c>
      <c r="AA473" s="3">
        <v>0</v>
      </c>
      <c r="AB473" s="3">
        <v>0</v>
      </c>
      <c r="AC473" s="3">
        <v>0</v>
      </c>
      <c r="AD473" s="3">
        <v>0</v>
      </c>
      <c r="AE473" s="3">
        <v>0</v>
      </c>
      <c r="AF473" s="3">
        <v>0</v>
      </c>
    </row>
    <row r="474" spans="8:32" x14ac:dyDescent="0.35">
      <c r="H474" s="3" t="str">
        <v>Re</v>
      </c>
      <c r="I474" s="3" t="str">
        <v>Rhenium</v>
      </c>
      <c r="J474" s="3" t="str">
        <v>Gas</v>
      </c>
      <c r="K474" s="3">
        <v>769856</v>
      </c>
      <c r="L474" s="3">
        <v>188.828104</v>
      </c>
      <c r="M474" s="3" t="str">
        <v/>
      </c>
      <c r="N474" s="3" t="str">
        <v/>
      </c>
      <c r="O474" s="3">
        <v>295</v>
      </c>
      <c r="P474" s="3">
        <v>300</v>
      </c>
      <c r="Q474" s="3">
        <v>4.968</v>
      </c>
      <c r="R474" s="3">
        <v>0</v>
      </c>
      <c r="S474" s="3">
        <v>0</v>
      </c>
      <c r="T474" s="3">
        <v>0</v>
      </c>
      <c r="U474" s="3">
        <v>0</v>
      </c>
      <c r="V474" s="3">
        <v>0</v>
      </c>
      <c r="W474" s="3">
        <v>0</v>
      </c>
      <c r="X474" s="3">
        <v>0</v>
      </c>
      <c r="Y474" s="3">
        <v>0</v>
      </c>
      <c r="Z474" s="3">
        <v>0</v>
      </c>
      <c r="AA474" s="3">
        <v>0</v>
      </c>
      <c r="AB474" s="3">
        <v>0</v>
      </c>
      <c r="AC474" s="3">
        <v>0</v>
      </c>
      <c r="AD474" s="3">
        <v>0</v>
      </c>
      <c r="AE474" s="3">
        <v>0</v>
      </c>
      <c r="AF474" s="3">
        <v>0</v>
      </c>
    </row>
    <row r="475" spans="8:32" x14ac:dyDescent="0.35">
      <c r="H475" s="3" t="str">
        <v>Os</v>
      </c>
      <c r="I475" s="3" t="str">
        <v>Osmium</v>
      </c>
      <c r="J475" s="3" t="str">
        <v>Solid</v>
      </c>
      <c r="K475" s="3">
        <v>0</v>
      </c>
      <c r="L475" s="3">
        <v>32.635199999999998</v>
      </c>
      <c r="M475" s="3" t="str">
        <v/>
      </c>
      <c r="N475" s="3" t="str">
        <v/>
      </c>
      <c r="O475" s="3">
        <v>298</v>
      </c>
      <c r="P475" s="3">
        <v>3300</v>
      </c>
      <c r="Q475" s="3">
        <v>5.63</v>
      </c>
      <c r="R475" s="3">
        <v>0</v>
      </c>
      <c r="S475" s="3">
        <v>9.2000000000000003E-4</v>
      </c>
      <c r="T475" s="3">
        <v>1</v>
      </c>
      <c r="U475" s="3">
        <v>0</v>
      </c>
      <c r="V475" s="3">
        <v>0</v>
      </c>
      <c r="W475" s="3">
        <v>0</v>
      </c>
      <c r="X475" s="3">
        <v>0</v>
      </c>
      <c r="Y475" s="3">
        <v>0</v>
      </c>
      <c r="Z475" s="3">
        <v>0</v>
      </c>
      <c r="AA475" s="3">
        <v>0</v>
      </c>
      <c r="AB475" s="3">
        <v>0</v>
      </c>
      <c r="AC475" s="3">
        <v>0</v>
      </c>
      <c r="AD475" s="3">
        <v>0</v>
      </c>
      <c r="AE475" s="3">
        <v>0</v>
      </c>
      <c r="AF475" s="3">
        <v>0</v>
      </c>
    </row>
    <row r="476" spans="8:32" x14ac:dyDescent="0.35">
      <c r="H476" s="3" t="str">
        <v>Os</v>
      </c>
      <c r="I476" s="3" t="str">
        <v>Osmium</v>
      </c>
      <c r="J476" s="3" t="str">
        <v>Liquid</v>
      </c>
      <c r="K476" s="3" t="str">
        <v/>
      </c>
      <c r="L476" s="3" t="str">
        <v/>
      </c>
      <c r="M476" s="3">
        <v>31756.560000000001</v>
      </c>
      <c r="N476" s="3">
        <v>3300</v>
      </c>
      <c r="O476" s="3">
        <v>3300</v>
      </c>
      <c r="P476" s="3">
        <v>4880</v>
      </c>
      <c r="Q476" s="3">
        <v>8.6</v>
      </c>
      <c r="R476" s="3">
        <v>0</v>
      </c>
      <c r="S476" s="3">
        <v>0</v>
      </c>
      <c r="T476" s="3">
        <v>0</v>
      </c>
      <c r="U476" s="3">
        <v>0</v>
      </c>
      <c r="V476" s="3">
        <v>0</v>
      </c>
      <c r="W476" s="3">
        <v>0</v>
      </c>
      <c r="X476" s="3">
        <v>0</v>
      </c>
      <c r="Y476" s="3">
        <v>0</v>
      </c>
      <c r="Z476" s="3">
        <v>0</v>
      </c>
      <c r="AA476" s="3">
        <v>0</v>
      </c>
      <c r="AB476" s="3">
        <v>0</v>
      </c>
      <c r="AC476" s="3">
        <v>0</v>
      </c>
      <c r="AD476" s="3">
        <v>0</v>
      </c>
      <c r="AE476" s="3">
        <v>0</v>
      </c>
      <c r="AF476" s="3">
        <v>0</v>
      </c>
    </row>
    <row r="477" spans="8:32" x14ac:dyDescent="0.35">
      <c r="H477" s="3" t="str">
        <v>Os</v>
      </c>
      <c r="I477" s="3" t="str">
        <v>Osmium</v>
      </c>
      <c r="J477" s="3" t="str">
        <v>Gas</v>
      </c>
      <c r="K477" s="3">
        <v>790776</v>
      </c>
      <c r="L477" s="3">
        <v>192.464</v>
      </c>
      <c r="M477" s="3" t="str">
        <v/>
      </c>
      <c r="N477" s="3" t="str">
        <v/>
      </c>
      <c r="O477" s="3">
        <v>295</v>
      </c>
      <c r="P477" s="3">
        <v>300</v>
      </c>
      <c r="Q477" s="3">
        <v>4.968</v>
      </c>
      <c r="R477" s="3">
        <v>0</v>
      </c>
      <c r="S477" s="3">
        <v>0</v>
      </c>
      <c r="T477" s="3">
        <v>0</v>
      </c>
      <c r="U477" s="3">
        <v>0</v>
      </c>
      <c r="V477" s="3">
        <v>0</v>
      </c>
      <c r="W477" s="3">
        <v>0</v>
      </c>
      <c r="X477" s="3">
        <v>0</v>
      </c>
      <c r="Y477" s="3">
        <v>0</v>
      </c>
      <c r="Z477" s="3">
        <v>0</v>
      </c>
      <c r="AA477" s="3">
        <v>0</v>
      </c>
      <c r="AB477" s="3">
        <v>0</v>
      </c>
      <c r="AC477" s="3">
        <v>0</v>
      </c>
      <c r="AD477" s="3">
        <v>0</v>
      </c>
      <c r="AE477" s="3">
        <v>0</v>
      </c>
      <c r="AF477" s="3">
        <v>0</v>
      </c>
    </row>
    <row r="478" spans="8:32" x14ac:dyDescent="0.35">
      <c r="H478" s="3" t="str">
        <v>Ir</v>
      </c>
      <c r="I478" s="3" t="str">
        <v>Iridium</v>
      </c>
      <c r="J478" s="3" t="str">
        <v>Solid</v>
      </c>
      <c r="K478" s="3">
        <v>0</v>
      </c>
      <c r="L478" s="3">
        <v>35.505424000000005</v>
      </c>
      <c r="M478" s="3" t="str">
        <v/>
      </c>
      <c r="N478" s="3" t="str">
        <v/>
      </c>
      <c r="O478" s="3">
        <v>298</v>
      </c>
      <c r="P478" s="3">
        <v>600</v>
      </c>
      <c r="Q478" s="3">
        <v>5.5839999999999996</v>
      </c>
      <c r="R478" s="3">
        <v>0</v>
      </c>
      <c r="S478" s="3">
        <v>1.281E-3</v>
      </c>
      <c r="T478" s="3">
        <v>1</v>
      </c>
      <c r="U478" s="3">
        <v>0</v>
      </c>
      <c r="V478" s="3">
        <v>0</v>
      </c>
      <c r="W478" s="3">
        <v>0</v>
      </c>
      <c r="X478" s="3">
        <v>0</v>
      </c>
      <c r="Y478" s="3">
        <v>0</v>
      </c>
      <c r="Z478" s="3">
        <v>0</v>
      </c>
      <c r="AA478" s="3">
        <v>0</v>
      </c>
      <c r="AB478" s="3">
        <v>0</v>
      </c>
      <c r="AC478" s="3">
        <v>0</v>
      </c>
      <c r="AD478" s="3">
        <v>0</v>
      </c>
      <c r="AE478" s="3">
        <v>0</v>
      </c>
      <c r="AF478" s="3">
        <v>0</v>
      </c>
    </row>
    <row r="479" spans="8:32" x14ac:dyDescent="0.35">
      <c r="H479" s="3" t="str">
        <v>Ir</v>
      </c>
      <c r="I479" s="3" t="str">
        <v>Iridium</v>
      </c>
      <c r="J479" s="3" t="str">
        <v>Solid</v>
      </c>
      <c r="K479" s="3">
        <v>0</v>
      </c>
      <c r="L479" s="3">
        <v>35.505424000000005</v>
      </c>
      <c r="M479" s="3" t="str">
        <v/>
      </c>
      <c r="N479" s="3" t="str">
        <v/>
      </c>
      <c r="O479" s="3">
        <v>600</v>
      </c>
      <c r="P479" s="3">
        <v>2716</v>
      </c>
      <c r="Q479" s="3">
        <v>5.0990000000000002</v>
      </c>
      <c r="R479" s="3">
        <v>0</v>
      </c>
      <c r="S479" s="3">
        <v>1.913E-3</v>
      </c>
      <c r="T479" s="3">
        <v>1</v>
      </c>
      <c r="U479" s="3">
        <v>39700</v>
      </c>
      <c r="V479" s="3">
        <v>-2</v>
      </c>
      <c r="W479" s="3">
        <v>-3.5999999999999998E-8</v>
      </c>
      <c r="X479" s="3">
        <v>2</v>
      </c>
      <c r="Y479" s="3">
        <v>0</v>
      </c>
      <c r="Z479" s="3">
        <v>0</v>
      </c>
      <c r="AA479" s="3">
        <v>0</v>
      </c>
      <c r="AB479" s="3">
        <v>0</v>
      </c>
      <c r="AC479" s="3">
        <v>0</v>
      </c>
      <c r="AD479" s="3">
        <v>0</v>
      </c>
      <c r="AE479" s="3">
        <v>0</v>
      </c>
      <c r="AF479" s="3">
        <v>0</v>
      </c>
    </row>
    <row r="480" spans="8:32" x14ac:dyDescent="0.35">
      <c r="H480" s="3" t="str">
        <v>Ir</v>
      </c>
      <c r="I480" s="3" t="str">
        <v>Iridium</v>
      </c>
      <c r="J480" s="3" t="str">
        <v>Liquid</v>
      </c>
      <c r="K480" s="3" t="str">
        <v/>
      </c>
      <c r="L480" s="3" t="str">
        <v/>
      </c>
      <c r="M480" s="3">
        <v>26137.448</v>
      </c>
      <c r="N480" s="3">
        <v>2716</v>
      </c>
      <c r="O480" s="3">
        <v>2716</v>
      </c>
      <c r="P480" s="3">
        <v>4701</v>
      </c>
      <c r="Q480" s="3">
        <v>10</v>
      </c>
      <c r="R480" s="3">
        <v>0</v>
      </c>
      <c r="S480" s="3">
        <v>0</v>
      </c>
      <c r="T480" s="3">
        <v>0</v>
      </c>
      <c r="U480" s="3">
        <v>0</v>
      </c>
      <c r="V480" s="3">
        <v>0</v>
      </c>
      <c r="W480" s="3">
        <v>0</v>
      </c>
      <c r="X480" s="3">
        <v>0</v>
      </c>
      <c r="Y480" s="3">
        <v>0</v>
      </c>
      <c r="Z480" s="3">
        <v>0</v>
      </c>
      <c r="AA480" s="3">
        <v>0</v>
      </c>
      <c r="AB480" s="3">
        <v>0</v>
      </c>
      <c r="AC480" s="3">
        <v>0</v>
      </c>
      <c r="AD480" s="3">
        <v>0</v>
      </c>
      <c r="AE480" s="3">
        <v>0</v>
      </c>
      <c r="AF480" s="3">
        <v>0</v>
      </c>
    </row>
    <row r="481" spans="8:32" x14ac:dyDescent="0.35">
      <c r="H481" s="3" t="str">
        <v>Ir</v>
      </c>
      <c r="I481" s="3" t="str">
        <v>Iridium</v>
      </c>
      <c r="J481" s="3" t="str">
        <v>Gas</v>
      </c>
      <c r="K481" s="3" t="str">
        <v/>
      </c>
      <c r="L481" s="3" t="str">
        <v/>
      </c>
      <c r="M481" s="3">
        <v>604131.94400000002</v>
      </c>
      <c r="N481" s="3">
        <v>4701</v>
      </c>
      <c r="O481" s="3">
        <v>4701</v>
      </c>
      <c r="P481" s="3">
        <v>5000</v>
      </c>
      <c r="Q481" s="3">
        <v>7.5529999999999999</v>
      </c>
      <c r="R481" s="3">
        <v>0</v>
      </c>
      <c r="S481" s="3">
        <v>0</v>
      </c>
      <c r="T481" s="3">
        <v>0</v>
      </c>
      <c r="U481" s="3">
        <v>0</v>
      </c>
      <c r="V481" s="3">
        <v>0</v>
      </c>
      <c r="W481" s="3">
        <v>0</v>
      </c>
      <c r="X481" s="3">
        <v>0</v>
      </c>
      <c r="Y481" s="3">
        <v>0</v>
      </c>
      <c r="Z481" s="3">
        <v>0</v>
      </c>
      <c r="AA481" s="3">
        <v>0</v>
      </c>
      <c r="AB481" s="3">
        <v>0</v>
      </c>
      <c r="AC481" s="3">
        <v>0</v>
      </c>
      <c r="AD481" s="3">
        <v>0</v>
      </c>
      <c r="AE481" s="3">
        <v>0</v>
      </c>
      <c r="AF481" s="3">
        <v>0</v>
      </c>
    </row>
    <row r="482" spans="8:32" x14ac:dyDescent="0.35">
      <c r="H482" s="3" t="str">
        <v>Pt</v>
      </c>
      <c r="I482" s="3" t="str">
        <v>Platinum</v>
      </c>
      <c r="J482" s="3" t="str">
        <v>Solid</v>
      </c>
      <c r="K482" s="3">
        <v>0</v>
      </c>
      <c r="L482" s="3">
        <v>41.630800000000001</v>
      </c>
      <c r="M482" s="3" t="str">
        <v/>
      </c>
      <c r="N482" s="3" t="str">
        <v/>
      </c>
      <c r="O482" s="3">
        <v>298</v>
      </c>
      <c r="P482" s="3">
        <v>2043</v>
      </c>
      <c r="Q482" s="3">
        <v>5.7960000000000003</v>
      </c>
      <c r="R482" s="3">
        <v>0</v>
      </c>
      <c r="S482" s="3">
        <v>1.2849999999999999E-3</v>
      </c>
      <c r="T482" s="3">
        <v>1</v>
      </c>
      <c r="U482" s="3">
        <v>0</v>
      </c>
      <c r="V482" s="3">
        <v>0</v>
      </c>
      <c r="W482" s="3">
        <v>0</v>
      </c>
      <c r="X482" s="3">
        <v>0</v>
      </c>
      <c r="Y482" s="3">
        <v>0</v>
      </c>
      <c r="Z482" s="3">
        <v>0</v>
      </c>
      <c r="AA482" s="3">
        <v>0</v>
      </c>
      <c r="AB482" s="3">
        <v>0</v>
      </c>
      <c r="AC482" s="3">
        <v>0</v>
      </c>
      <c r="AD482" s="3">
        <v>0</v>
      </c>
      <c r="AE482" s="3">
        <v>0</v>
      </c>
      <c r="AF482" s="3">
        <v>0</v>
      </c>
    </row>
    <row r="483" spans="8:32" x14ac:dyDescent="0.35">
      <c r="H483" s="3" t="str">
        <v>Pt</v>
      </c>
      <c r="I483" s="3" t="str">
        <v>Platinum</v>
      </c>
      <c r="J483" s="3" t="str">
        <v>Liquid</v>
      </c>
      <c r="K483" s="3" t="str">
        <v/>
      </c>
      <c r="L483" s="3" t="str">
        <v/>
      </c>
      <c r="M483" s="3">
        <v>19664.8</v>
      </c>
      <c r="N483" s="3">
        <v>2043</v>
      </c>
      <c r="O483" s="3">
        <v>2043</v>
      </c>
      <c r="P483" s="3">
        <v>4097</v>
      </c>
      <c r="Q483" s="3">
        <v>8.3000000000000007</v>
      </c>
      <c r="R483" s="3">
        <v>0</v>
      </c>
      <c r="S483" s="3">
        <v>0</v>
      </c>
      <c r="T483" s="3">
        <v>0</v>
      </c>
      <c r="U483" s="3">
        <v>0</v>
      </c>
      <c r="V483" s="3">
        <v>0</v>
      </c>
      <c r="W483" s="3">
        <v>0</v>
      </c>
      <c r="X483" s="3">
        <v>0</v>
      </c>
      <c r="Y483" s="3">
        <v>0</v>
      </c>
      <c r="Z483" s="3">
        <v>0</v>
      </c>
      <c r="AA483" s="3">
        <v>0</v>
      </c>
      <c r="AB483" s="3">
        <v>0</v>
      </c>
      <c r="AC483" s="3">
        <v>0</v>
      </c>
      <c r="AD483" s="3">
        <v>0</v>
      </c>
      <c r="AE483" s="3">
        <v>0</v>
      </c>
      <c r="AF483" s="3">
        <v>0</v>
      </c>
    </row>
    <row r="484" spans="8:32" x14ac:dyDescent="0.35">
      <c r="H484" s="3" t="str">
        <v>Pt</v>
      </c>
      <c r="I484" s="3" t="str">
        <v>Platinum</v>
      </c>
      <c r="J484" s="3" t="str">
        <v>Gas</v>
      </c>
      <c r="K484" s="3">
        <v>565258.4</v>
      </c>
      <c r="L484" s="3">
        <v>192.29664000000002</v>
      </c>
      <c r="M484" s="3" t="str">
        <v/>
      </c>
      <c r="N484" s="3" t="str">
        <v/>
      </c>
      <c r="O484" s="3">
        <v>295</v>
      </c>
      <c r="P484" s="3">
        <v>300</v>
      </c>
      <c r="Q484" s="3">
        <v>6.1020000000000003</v>
      </c>
      <c r="R484" s="3">
        <v>0</v>
      </c>
      <c r="S484" s="3">
        <v>0</v>
      </c>
      <c r="T484" s="3">
        <v>0</v>
      </c>
      <c r="U484" s="3">
        <v>0</v>
      </c>
      <c r="V484" s="3">
        <v>0</v>
      </c>
      <c r="W484" s="3">
        <v>0</v>
      </c>
      <c r="X484" s="3">
        <v>0</v>
      </c>
      <c r="Y484" s="3">
        <v>0</v>
      </c>
      <c r="Z484" s="3">
        <v>0</v>
      </c>
      <c r="AA484" s="3">
        <v>0</v>
      </c>
      <c r="AB484" s="3">
        <v>0</v>
      </c>
      <c r="AC484" s="3">
        <v>0</v>
      </c>
      <c r="AD484" s="3">
        <v>0</v>
      </c>
      <c r="AE484" s="3">
        <v>0</v>
      </c>
      <c r="AF484" s="3">
        <v>0</v>
      </c>
    </row>
    <row r="485" spans="8:32" x14ac:dyDescent="0.35">
      <c r="H485" s="3" t="str">
        <v>Au</v>
      </c>
      <c r="I485" s="3" t="str">
        <v>Gold</v>
      </c>
      <c r="J485" s="3" t="str">
        <v>Solid</v>
      </c>
      <c r="K485" s="3">
        <v>0</v>
      </c>
      <c r="L485" s="3">
        <v>47.496768000000003</v>
      </c>
      <c r="M485" s="3" t="str">
        <v/>
      </c>
      <c r="N485" s="3" t="str">
        <v/>
      </c>
      <c r="O485" s="3">
        <v>298.14999999999998</v>
      </c>
      <c r="P485" s="3">
        <v>900</v>
      </c>
      <c r="Q485" s="3">
        <v>5.7380000000000004</v>
      </c>
      <c r="R485" s="3">
        <v>0</v>
      </c>
      <c r="S485" s="3">
        <v>1.0460000000000001E-3</v>
      </c>
      <c r="T485" s="3">
        <v>1</v>
      </c>
      <c r="U485" s="3">
        <v>0</v>
      </c>
      <c r="V485" s="3">
        <v>0</v>
      </c>
      <c r="W485" s="3">
        <v>0</v>
      </c>
      <c r="X485" s="3">
        <v>0</v>
      </c>
      <c r="Y485" s="3">
        <v>0</v>
      </c>
      <c r="Z485" s="3">
        <v>0</v>
      </c>
      <c r="AA485" s="3">
        <v>0</v>
      </c>
      <c r="AB485" s="3">
        <v>0</v>
      </c>
      <c r="AC485" s="3">
        <v>0</v>
      </c>
      <c r="AD485" s="3">
        <v>0</v>
      </c>
      <c r="AE485" s="3">
        <v>0</v>
      </c>
      <c r="AF485" s="3">
        <v>0</v>
      </c>
    </row>
    <row r="486" spans="8:32" x14ac:dyDescent="0.35">
      <c r="H486" s="3" t="str">
        <v>Au</v>
      </c>
      <c r="I486" s="3" t="str">
        <v>Gold</v>
      </c>
      <c r="J486" s="3" t="str">
        <v>Solid</v>
      </c>
      <c r="K486" s="3">
        <v>0</v>
      </c>
      <c r="L486" s="3">
        <v>47.496768000000003</v>
      </c>
      <c r="M486" s="3" t="str">
        <v/>
      </c>
      <c r="N486" s="3" t="str">
        <v/>
      </c>
      <c r="O486" s="3">
        <v>900</v>
      </c>
      <c r="P486" s="3">
        <v>1200</v>
      </c>
      <c r="Q486" s="3">
        <v>1.0920000000000001</v>
      </c>
      <c r="R486" s="3">
        <v>0</v>
      </c>
      <c r="S486" s="3">
        <v>4.4190000000000002E-3</v>
      </c>
      <c r="T486" s="3">
        <v>1</v>
      </c>
      <c r="U486" s="3">
        <v>1309100</v>
      </c>
      <c r="V486" s="3">
        <v>-2</v>
      </c>
      <c r="W486" s="3">
        <v>0</v>
      </c>
      <c r="X486" s="3">
        <v>0</v>
      </c>
      <c r="Y486" s="3">
        <v>0</v>
      </c>
      <c r="Z486" s="3">
        <v>0</v>
      </c>
      <c r="AA486" s="3">
        <v>0</v>
      </c>
      <c r="AB486" s="3">
        <v>0</v>
      </c>
      <c r="AC486" s="3">
        <v>0</v>
      </c>
      <c r="AD486" s="3">
        <v>0</v>
      </c>
      <c r="AE486" s="3">
        <v>0</v>
      </c>
      <c r="AF486" s="3">
        <v>0</v>
      </c>
    </row>
    <row r="487" spans="8:32" x14ac:dyDescent="0.35">
      <c r="H487" s="3" t="str">
        <v>Au</v>
      </c>
      <c r="I487" s="3" t="str">
        <v>Gold</v>
      </c>
      <c r="J487" s="3" t="str">
        <v>Solid</v>
      </c>
      <c r="K487" s="3">
        <v>0</v>
      </c>
      <c r="L487" s="3">
        <v>47.496768000000003</v>
      </c>
      <c r="M487" s="3" t="str">
        <v/>
      </c>
      <c r="N487" s="3" t="str">
        <v/>
      </c>
      <c r="O487" s="3">
        <v>1200</v>
      </c>
      <c r="P487" s="3">
        <v>1336</v>
      </c>
      <c r="Q487" s="3">
        <v>-50.581000000000003</v>
      </c>
      <c r="R487" s="3">
        <v>0</v>
      </c>
      <c r="S487" s="3">
        <v>3.2215000000000001E-2</v>
      </c>
      <c r="T487" s="3">
        <v>1</v>
      </c>
      <c r="U487" s="3">
        <v>27689800</v>
      </c>
      <c r="V487" s="3">
        <v>-2</v>
      </c>
      <c r="W487" s="3">
        <v>0</v>
      </c>
      <c r="X487" s="3">
        <v>0</v>
      </c>
      <c r="Y487" s="3">
        <v>0</v>
      </c>
      <c r="Z487" s="3">
        <v>0</v>
      </c>
      <c r="AA487" s="3">
        <v>0</v>
      </c>
      <c r="AB487" s="3">
        <v>0</v>
      </c>
      <c r="AC487" s="3">
        <v>0</v>
      </c>
      <c r="AD487" s="3">
        <v>0</v>
      </c>
      <c r="AE487" s="3">
        <v>0</v>
      </c>
      <c r="AF487" s="3">
        <v>0</v>
      </c>
    </row>
    <row r="488" spans="8:32" x14ac:dyDescent="0.35">
      <c r="H488" s="3" t="str">
        <v>Au</v>
      </c>
      <c r="I488" s="3" t="str">
        <v>Gold</v>
      </c>
      <c r="J488" s="3" t="str">
        <v>Liquid</v>
      </c>
      <c r="K488" s="3" t="str">
        <v/>
      </c>
      <c r="L488" s="3" t="str">
        <v/>
      </c>
      <c r="M488" s="3">
        <v>12552</v>
      </c>
      <c r="N488" s="3">
        <v>1336.15</v>
      </c>
      <c r="O488" s="3">
        <v>1336</v>
      </c>
      <c r="P488" s="3">
        <v>3130</v>
      </c>
      <c r="Q488" s="3">
        <v>7.4</v>
      </c>
      <c r="R488" s="3">
        <v>0</v>
      </c>
      <c r="S488" s="3">
        <v>0</v>
      </c>
      <c r="T488" s="3">
        <v>0</v>
      </c>
      <c r="U488" s="3">
        <v>0</v>
      </c>
      <c r="V488" s="3">
        <v>0</v>
      </c>
      <c r="W488" s="3">
        <v>0</v>
      </c>
      <c r="X488" s="3">
        <v>0</v>
      </c>
      <c r="Y488" s="3">
        <v>0</v>
      </c>
      <c r="Z488" s="3">
        <v>0</v>
      </c>
      <c r="AA488" s="3">
        <v>0</v>
      </c>
      <c r="AB488" s="3">
        <v>0</v>
      </c>
      <c r="AC488" s="3">
        <v>0</v>
      </c>
      <c r="AD488" s="3">
        <v>0</v>
      </c>
      <c r="AE488" s="3">
        <v>0</v>
      </c>
      <c r="AF488" s="3">
        <v>0</v>
      </c>
    </row>
    <row r="489" spans="8:32" x14ac:dyDescent="0.35">
      <c r="H489" s="3" t="str">
        <v>Au</v>
      </c>
      <c r="I489" s="3" t="str">
        <v>Gold</v>
      </c>
      <c r="J489" s="3" t="str">
        <v>Gas</v>
      </c>
      <c r="K489" s="3" t="str">
        <v/>
      </c>
      <c r="L489" s="3" t="str">
        <v/>
      </c>
      <c r="M489" s="3">
        <v>334376.91200000001</v>
      </c>
      <c r="N489" s="3">
        <v>3130</v>
      </c>
      <c r="O489" s="3">
        <v>3130</v>
      </c>
      <c r="P489" s="3">
        <v>4000</v>
      </c>
      <c r="Q489" s="3">
        <v>2.6349999999999998</v>
      </c>
      <c r="R489" s="3">
        <v>0</v>
      </c>
      <c r="S489" s="3">
        <v>1.168E-3</v>
      </c>
      <c r="T489" s="3">
        <v>1</v>
      </c>
      <c r="U489" s="3">
        <v>1439800</v>
      </c>
      <c r="V489" s="3">
        <v>-2</v>
      </c>
      <c r="W489" s="3">
        <v>0</v>
      </c>
      <c r="X489" s="3">
        <v>0</v>
      </c>
      <c r="Y489" s="3">
        <v>0</v>
      </c>
      <c r="Z489" s="3">
        <v>0</v>
      </c>
      <c r="AA489" s="3">
        <v>0</v>
      </c>
      <c r="AB489" s="3">
        <v>0</v>
      </c>
      <c r="AC489" s="3">
        <v>0</v>
      </c>
      <c r="AD489" s="3">
        <v>0</v>
      </c>
      <c r="AE489" s="3">
        <v>0</v>
      </c>
      <c r="AF489" s="3">
        <v>0</v>
      </c>
    </row>
    <row r="490" spans="8:32" x14ac:dyDescent="0.35">
      <c r="H490" s="3" t="str">
        <v>Hg</v>
      </c>
      <c r="I490" s="3" t="str">
        <v>Mercury</v>
      </c>
      <c r="J490" s="3" t="str">
        <v>Liquid-1</v>
      </c>
      <c r="K490" s="3">
        <v>0</v>
      </c>
      <c r="L490" s="3">
        <v>76.028000000000006</v>
      </c>
      <c r="M490" s="3" t="str">
        <v/>
      </c>
      <c r="N490" s="3" t="str">
        <v/>
      </c>
      <c r="O490" s="3">
        <v>298.14999999999998</v>
      </c>
      <c r="P490" s="3">
        <v>629.84</v>
      </c>
      <c r="Q490" s="3">
        <v>29.614372912296901</v>
      </c>
      <c r="R490" s="3">
        <v>0</v>
      </c>
      <c r="S490" s="3">
        <v>-8.4757637575464499E-3</v>
      </c>
      <c r="T490" s="3">
        <v>1</v>
      </c>
      <c r="U490" s="3">
        <v>89132.690044732502</v>
      </c>
      <c r="V490" s="3">
        <v>-2</v>
      </c>
      <c r="W490" s="3">
        <v>7.65884252403973E-6</v>
      </c>
      <c r="X490" s="3">
        <v>2</v>
      </c>
      <c r="Y490" s="3">
        <v>-236.41561221345</v>
      </c>
      <c r="Z490" s="3">
        <v>-1</v>
      </c>
      <c r="AA490" s="3">
        <v>0</v>
      </c>
      <c r="AB490" s="3">
        <v>0</v>
      </c>
      <c r="AC490" s="3">
        <v>0</v>
      </c>
      <c r="AD490" s="3">
        <v>0</v>
      </c>
      <c r="AE490" s="3">
        <v>0</v>
      </c>
      <c r="AF490" s="3">
        <v>0</v>
      </c>
    </row>
    <row r="491" spans="8:32" x14ac:dyDescent="0.35">
      <c r="H491" s="3" t="str">
        <v>Hg</v>
      </c>
      <c r="I491" s="3" t="str">
        <v>Mercury</v>
      </c>
      <c r="J491" s="3" t="str">
        <v>Liquid-1</v>
      </c>
      <c r="K491" s="3">
        <v>0</v>
      </c>
      <c r="L491" s="3">
        <v>76.028000000000006</v>
      </c>
      <c r="M491" s="3" t="str">
        <v/>
      </c>
      <c r="N491" s="3" t="str">
        <v/>
      </c>
      <c r="O491" s="3">
        <v>629.84</v>
      </c>
      <c r="P491" s="3">
        <v>2000</v>
      </c>
      <c r="Q491" s="3">
        <v>24.879157915405202</v>
      </c>
      <c r="R491" s="3">
        <v>0</v>
      </c>
      <c r="S491" s="3">
        <v>3.2294804873729999E-3</v>
      </c>
      <c r="T491" s="3">
        <v>1</v>
      </c>
      <c r="U491" s="3">
        <v>99319.0754605072</v>
      </c>
      <c r="V491" s="3">
        <v>-2</v>
      </c>
      <c r="W491" s="3">
        <v>0</v>
      </c>
      <c r="X491" s="3">
        <v>0</v>
      </c>
      <c r="Y491" s="3">
        <v>0</v>
      </c>
      <c r="Z491" s="3">
        <v>0</v>
      </c>
      <c r="AA491" s="3">
        <v>0</v>
      </c>
      <c r="AB491" s="3">
        <v>0</v>
      </c>
      <c r="AC491" s="3">
        <v>0</v>
      </c>
      <c r="AD491" s="3">
        <v>0</v>
      </c>
      <c r="AE491" s="3">
        <v>0</v>
      </c>
      <c r="AF491" s="3">
        <v>0</v>
      </c>
    </row>
    <row r="492" spans="8:32" x14ac:dyDescent="0.35">
      <c r="H492" s="3" t="str">
        <v>Hg</v>
      </c>
      <c r="I492" s="3" t="str">
        <v>Mercury</v>
      </c>
      <c r="J492" s="3" t="str">
        <v>Gas-1</v>
      </c>
      <c r="K492" s="3">
        <v>61380</v>
      </c>
      <c r="L492" s="3">
        <v>174.97</v>
      </c>
      <c r="M492" s="3" t="str">
        <v/>
      </c>
      <c r="N492" s="3" t="str">
        <v/>
      </c>
      <c r="O492" s="3">
        <v>298.14999999999998</v>
      </c>
      <c r="P492" s="3">
        <v>3400</v>
      </c>
      <c r="Q492" s="3">
        <v>20.786055555555599</v>
      </c>
      <c r="R492" s="3">
        <v>0</v>
      </c>
      <c r="S492" s="3">
        <v>0</v>
      </c>
      <c r="T492" s="3">
        <v>0</v>
      </c>
      <c r="U492" s="3">
        <v>0</v>
      </c>
      <c r="V492" s="3">
        <v>0</v>
      </c>
      <c r="W492" s="3">
        <v>0</v>
      </c>
      <c r="X492" s="3">
        <v>0</v>
      </c>
      <c r="Y492" s="3">
        <v>0</v>
      </c>
      <c r="Z492" s="3">
        <v>0</v>
      </c>
      <c r="AA492" s="3">
        <v>0</v>
      </c>
      <c r="AB492" s="3">
        <v>0</v>
      </c>
      <c r="AC492" s="3">
        <v>0</v>
      </c>
      <c r="AD492" s="3">
        <v>0</v>
      </c>
      <c r="AE492" s="3">
        <v>0</v>
      </c>
      <c r="AF492" s="3">
        <v>0</v>
      </c>
    </row>
    <row r="493" spans="8:32" x14ac:dyDescent="0.35">
      <c r="H493" s="3" t="str">
        <v>Hg</v>
      </c>
      <c r="I493" s="3" t="str">
        <v>Mercury</v>
      </c>
      <c r="J493" s="3" t="str">
        <v>Gas-1</v>
      </c>
      <c r="K493" s="3">
        <v>61380</v>
      </c>
      <c r="L493" s="3">
        <v>174.97</v>
      </c>
      <c r="M493" s="3" t="str">
        <v/>
      </c>
      <c r="N493" s="3" t="str">
        <v/>
      </c>
      <c r="O493" s="3">
        <v>3400</v>
      </c>
      <c r="P493" s="3">
        <v>4800</v>
      </c>
      <c r="Q493" s="3">
        <v>-65.552420862643004</v>
      </c>
      <c r="R493" s="3">
        <v>0</v>
      </c>
      <c r="S493" s="3">
        <v>2.8591292617225999E-3</v>
      </c>
      <c r="T493" s="3">
        <v>1</v>
      </c>
      <c r="U493" s="3">
        <v>106535492.31508601</v>
      </c>
      <c r="V493" s="3">
        <v>-2</v>
      </c>
      <c r="W493" s="3">
        <v>-288668.27871228498</v>
      </c>
      <c r="X493" s="3">
        <v>-1</v>
      </c>
      <c r="Y493" s="3">
        <v>8880.77290430842</v>
      </c>
      <c r="Z493" s="3">
        <v>-0.5</v>
      </c>
      <c r="AA493" s="3">
        <v>0</v>
      </c>
      <c r="AB493" s="3">
        <v>0</v>
      </c>
      <c r="AC493" s="3">
        <v>0</v>
      </c>
      <c r="AD493" s="3">
        <v>0</v>
      </c>
      <c r="AE493" s="3">
        <v>0</v>
      </c>
      <c r="AF493" s="3">
        <v>0</v>
      </c>
    </row>
    <row r="494" spans="8:32" x14ac:dyDescent="0.35">
      <c r="H494" s="3" t="str">
        <v>Hg</v>
      </c>
      <c r="I494" s="3" t="str">
        <v>Mercury</v>
      </c>
      <c r="J494" s="3" t="str">
        <v>Gas-1</v>
      </c>
      <c r="K494" s="3">
        <v>61380</v>
      </c>
      <c r="L494" s="3">
        <v>174.97</v>
      </c>
      <c r="M494" s="3" t="str">
        <v/>
      </c>
      <c r="N494" s="3" t="str">
        <v/>
      </c>
      <c r="O494" s="3">
        <v>4800</v>
      </c>
      <c r="P494" s="3">
        <v>6000</v>
      </c>
      <c r="Q494" s="3">
        <v>137.52304812924999</v>
      </c>
      <c r="R494" s="3">
        <v>0</v>
      </c>
      <c r="S494" s="3">
        <v>-856383538.50156903</v>
      </c>
      <c r="T494" s="3">
        <v>-2</v>
      </c>
      <c r="U494" s="3">
        <v>1089516.6821816801</v>
      </c>
      <c r="V494" s="3">
        <v>-1</v>
      </c>
      <c r="W494" s="3">
        <v>-21234.751613321099</v>
      </c>
      <c r="X494" s="3">
        <v>-0.5</v>
      </c>
      <c r="Y494" s="3">
        <v>0</v>
      </c>
      <c r="Z494" s="3">
        <v>0</v>
      </c>
      <c r="AA494" s="3">
        <v>0</v>
      </c>
      <c r="AB494" s="3">
        <v>0</v>
      </c>
      <c r="AC494" s="3">
        <v>0</v>
      </c>
      <c r="AD494" s="3">
        <v>0</v>
      </c>
      <c r="AE494" s="3">
        <v>0</v>
      </c>
      <c r="AF494" s="3">
        <v>0</v>
      </c>
    </row>
    <row r="495" spans="8:32" x14ac:dyDescent="0.35">
      <c r="H495" s="3" t="str">
        <v>Hg</v>
      </c>
      <c r="I495" s="3" t="str">
        <v>Mercury</v>
      </c>
      <c r="J495" s="3" t="str">
        <v>Aqueous</v>
      </c>
      <c r="K495" s="3">
        <v>37656</v>
      </c>
      <c r="L495" s="3">
        <v>71.128</v>
      </c>
      <c r="M495" s="3" t="str">
        <v/>
      </c>
      <c r="N495" s="3" t="str">
        <v/>
      </c>
      <c r="O495" s="3">
        <v>298.14999999999998</v>
      </c>
      <c r="P495" s="3">
        <v>298.14999999999998</v>
      </c>
      <c r="Q495" s="3">
        <v>0</v>
      </c>
      <c r="R495" s="3">
        <v>0</v>
      </c>
      <c r="S495" s="3">
        <v>0</v>
      </c>
      <c r="T495" s="3">
        <v>0</v>
      </c>
      <c r="U495" s="3">
        <v>0</v>
      </c>
      <c r="V495" s="3">
        <v>0</v>
      </c>
      <c r="W495" s="3">
        <v>0</v>
      </c>
      <c r="X495" s="3">
        <v>0</v>
      </c>
      <c r="Y495" s="3">
        <v>0</v>
      </c>
      <c r="Z495" s="3">
        <v>0</v>
      </c>
      <c r="AA495" s="3">
        <v>0</v>
      </c>
      <c r="AB495" s="3">
        <v>0</v>
      </c>
      <c r="AC495" s="3">
        <v>0</v>
      </c>
      <c r="AD495" s="3">
        <v>0</v>
      </c>
      <c r="AE495" s="3">
        <v>0</v>
      </c>
      <c r="AF495" s="3">
        <v>0</v>
      </c>
    </row>
    <row r="496" spans="8:32" x14ac:dyDescent="0.35">
      <c r="H496" s="3" t="str">
        <v>Tl</v>
      </c>
      <c r="I496" s="3" t="str">
        <v>Thallium</v>
      </c>
      <c r="J496" s="3" t="str">
        <v>Solid-A</v>
      </c>
      <c r="K496" s="3">
        <v>0</v>
      </c>
      <c r="L496" s="3">
        <v>64.182559999999995</v>
      </c>
      <c r="M496" s="3" t="str">
        <v/>
      </c>
      <c r="N496" s="3" t="str">
        <v/>
      </c>
      <c r="O496" s="3">
        <v>298</v>
      </c>
      <c r="P496" s="3">
        <v>507</v>
      </c>
      <c r="Q496" s="3">
        <v>3.3719999999999999</v>
      </c>
      <c r="R496" s="3">
        <v>0</v>
      </c>
      <c r="S496" s="3">
        <v>6.6800000000000002E-3</v>
      </c>
      <c r="T496" s="3">
        <v>1</v>
      </c>
      <c r="U496" s="3">
        <v>82300</v>
      </c>
      <c r="V496" s="3">
        <v>-2</v>
      </c>
      <c r="W496" s="3">
        <v>0</v>
      </c>
      <c r="X496" s="3">
        <v>0</v>
      </c>
      <c r="Y496" s="3">
        <v>0</v>
      </c>
      <c r="Z496" s="3">
        <v>0</v>
      </c>
      <c r="AA496" s="3">
        <v>0</v>
      </c>
      <c r="AB496" s="3">
        <v>0</v>
      </c>
      <c r="AC496" s="3">
        <v>0</v>
      </c>
      <c r="AD496" s="3">
        <v>0</v>
      </c>
      <c r="AE496" s="3">
        <v>0</v>
      </c>
      <c r="AF496" s="3">
        <v>0</v>
      </c>
    </row>
    <row r="497" spans="8:32" x14ac:dyDescent="0.35">
      <c r="H497" s="3" t="str">
        <v>Tl</v>
      </c>
      <c r="I497" s="3" t="str">
        <v>Thallium</v>
      </c>
      <c r="J497" s="3" t="str">
        <v>Solid-B</v>
      </c>
      <c r="K497" s="3" t="str">
        <v/>
      </c>
      <c r="L497" s="3" t="str">
        <v/>
      </c>
      <c r="M497" s="3">
        <v>376.56</v>
      </c>
      <c r="N497" s="3">
        <v>507</v>
      </c>
      <c r="O497" s="3">
        <v>507</v>
      </c>
      <c r="P497" s="3">
        <v>577</v>
      </c>
      <c r="Q497" s="3">
        <v>6.49</v>
      </c>
      <c r="R497" s="3">
        <v>0</v>
      </c>
      <c r="S497" s="3">
        <v>2.2889999999999998E-3</v>
      </c>
      <c r="T497" s="3">
        <v>1</v>
      </c>
      <c r="U497" s="3">
        <v>0</v>
      </c>
      <c r="V497" s="3">
        <v>0</v>
      </c>
      <c r="W497" s="3">
        <v>0</v>
      </c>
      <c r="X497" s="3">
        <v>0</v>
      </c>
      <c r="Y497" s="3">
        <v>0</v>
      </c>
      <c r="Z497" s="3">
        <v>0</v>
      </c>
      <c r="AA497" s="3">
        <v>0</v>
      </c>
      <c r="AB497" s="3">
        <v>0</v>
      </c>
      <c r="AC497" s="3">
        <v>0</v>
      </c>
      <c r="AD497" s="3">
        <v>0</v>
      </c>
      <c r="AE497" s="3">
        <v>0</v>
      </c>
      <c r="AF497" s="3">
        <v>0</v>
      </c>
    </row>
    <row r="498" spans="8:32" x14ac:dyDescent="0.35">
      <c r="H498" s="3" t="str">
        <v>Tl</v>
      </c>
      <c r="I498" s="3" t="str">
        <v>Thallium</v>
      </c>
      <c r="J498" s="3" t="str">
        <v>Liquid</v>
      </c>
      <c r="K498" s="3" t="str">
        <v/>
      </c>
      <c r="L498" s="3" t="str">
        <v/>
      </c>
      <c r="M498" s="3">
        <v>4142.16</v>
      </c>
      <c r="N498" s="3">
        <v>577</v>
      </c>
      <c r="O498" s="3">
        <v>577</v>
      </c>
      <c r="P498" s="3">
        <v>1746</v>
      </c>
      <c r="Q498" s="3">
        <v>7.1</v>
      </c>
      <c r="R498" s="3">
        <v>0</v>
      </c>
      <c r="S498" s="3">
        <v>0</v>
      </c>
      <c r="T498" s="3">
        <v>0</v>
      </c>
      <c r="U498" s="3">
        <v>0</v>
      </c>
      <c r="V498" s="3">
        <v>0</v>
      </c>
      <c r="W498" s="3">
        <v>0</v>
      </c>
      <c r="X498" s="3">
        <v>0</v>
      </c>
      <c r="Y498" s="3">
        <v>0</v>
      </c>
      <c r="Z498" s="3">
        <v>0</v>
      </c>
      <c r="AA498" s="3">
        <v>0</v>
      </c>
      <c r="AB498" s="3">
        <v>0</v>
      </c>
      <c r="AC498" s="3">
        <v>0</v>
      </c>
      <c r="AD498" s="3">
        <v>0</v>
      </c>
      <c r="AE498" s="3">
        <v>0</v>
      </c>
      <c r="AF498" s="3">
        <v>0</v>
      </c>
    </row>
    <row r="499" spans="8:32" x14ac:dyDescent="0.35">
      <c r="H499" s="3" t="str">
        <v>Tl</v>
      </c>
      <c r="I499" s="3" t="str">
        <v>Thallium</v>
      </c>
      <c r="J499" s="3" t="str">
        <v>Gas</v>
      </c>
      <c r="K499" s="3" t="str">
        <v/>
      </c>
      <c r="L499" s="3" t="str">
        <v/>
      </c>
      <c r="M499" s="3">
        <v>164075.56</v>
      </c>
      <c r="N499" s="3">
        <v>1746</v>
      </c>
      <c r="O499" s="3">
        <v>1746</v>
      </c>
      <c r="P499" s="3">
        <v>2000</v>
      </c>
      <c r="Q499" s="3">
        <v>5.234</v>
      </c>
      <c r="R499" s="3">
        <v>0</v>
      </c>
      <c r="S499" s="3">
        <v>0</v>
      </c>
      <c r="T499" s="3">
        <v>0</v>
      </c>
      <c r="U499" s="3">
        <v>0</v>
      </c>
      <c r="V499" s="3">
        <v>0</v>
      </c>
      <c r="W499" s="3">
        <v>0</v>
      </c>
      <c r="X499" s="3">
        <v>0</v>
      </c>
      <c r="Y499" s="3">
        <v>0</v>
      </c>
      <c r="Z499" s="3">
        <v>0</v>
      </c>
      <c r="AA499" s="3">
        <v>0</v>
      </c>
      <c r="AB499" s="3">
        <v>0</v>
      </c>
      <c r="AC499" s="3">
        <v>0</v>
      </c>
      <c r="AD499" s="3">
        <v>0</v>
      </c>
      <c r="AE499" s="3">
        <v>0</v>
      </c>
      <c r="AF499" s="3">
        <v>0</v>
      </c>
    </row>
    <row r="500" spans="8:32" x14ac:dyDescent="0.35">
      <c r="H500" s="3" t="str">
        <v>Pb</v>
      </c>
      <c r="I500" s="3" t="str">
        <v>Lead</v>
      </c>
      <c r="J500" s="3" t="str">
        <v>Solid-1</v>
      </c>
      <c r="K500" s="3">
        <v>0</v>
      </c>
      <c r="L500" s="3">
        <v>64.784999999999997</v>
      </c>
      <c r="M500" s="3" t="str">
        <v/>
      </c>
      <c r="N500" s="3" t="str">
        <v/>
      </c>
      <c r="O500" s="3">
        <v>298.14999999999998</v>
      </c>
      <c r="P500" s="3">
        <v>1100</v>
      </c>
      <c r="Q500" s="3">
        <v>23.4651625135219</v>
      </c>
      <c r="R500" s="3">
        <v>0</v>
      </c>
      <c r="S500" s="3">
        <v>9.7782297615756093E-3</v>
      </c>
      <c r="T500" s="3">
        <v>1</v>
      </c>
      <c r="U500" s="3">
        <v>43913.964488496698</v>
      </c>
      <c r="V500" s="3">
        <v>-2</v>
      </c>
      <c r="W500" s="3">
        <v>0</v>
      </c>
      <c r="X500" s="3">
        <v>0</v>
      </c>
      <c r="Y500" s="3">
        <v>0</v>
      </c>
      <c r="Z500" s="3">
        <v>0</v>
      </c>
      <c r="AA500" s="3">
        <v>0</v>
      </c>
      <c r="AB500" s="3">
        <v>0</v>
      </c>
      <c r="AC500" s="3">
        <v>0</v>
      </c>
      <c r="AD500" s="3">
        <v>0</v>
      </c>
      <c r="AE500" s="3">
        <v>0</v>
      </c>
      <c r="AF500" s="3">
        <v>0</v>
      </c>
    </row>
    <row r="501" spans="8:32" x14ac:dyDescent="0.35">
      <c r="H501" s="3" t="str">
        <v>Pb</v>
      </c>
      <c r="I501" s="3" t="str">
        <v>Lead</v>
      </c>
      <c r="J501" s="3" t="str">
        <v>Solid-1</v>
      </c>
      <c r="K501" s="3">
        <v>0</v>
      </c>
      <c r="L501" s="3">
        <v>64.784999999999997</v>
      </c>
      <c r="M501" s="3" t="str">
        <v/>
      </c>
      <c r="N501" s="3" t="str">
        <v/>
      </c>
      <c r="O501" s="3">
        <v>1100</v>
      </c>
      <c r="P501" s="3">
        <v>1101</v>
      </c>
      <c r="Q501" s="3">
        <v>29</v>
      </c>
      <c r="R501" s="3">
        <v>0</v>
      </c>
      <c r="S501" s="3">
        <v>0</v>
      </c>
      <c r="T501" s="3">
        <v>0</v>
      </c>
      <c r="U501" s="3">
        <v>0</v>
      </c>
      <c r="V501" s="3">
        <v>0</v>
      </c>
      <c r="W501" s="3">
        <v>0</v>
      </c>
      <c r="X501" s="3">
        <v>0</v>
      </c>
      <c r="Y501" s="3">
        <v>0</v>
      </c>
      <c r="Z501" s="3">
        <v>0</v>
      </c>
      <c r="AA501" s="3">
        <v>0</v>
      </c>
      <c r="AB501" s="3">
        <v>0</v>
      </c>
      <c r="AC501" s="3">
        <v>0</v>
      </c>
      <c r="AD501" s="3">
        <v>0</v>
      </c>
      <c r="AE501" s="3">
        <v>0</v>
      </c>
      <c r="AF501" s="3">
        <v>0</v>
      </c>
    </row>
    <row r="502" spans="8:32" x14ac:dyDescent="0.35">
      <c r="H502" s="3" t="str">
        <v>Pb</v>
      </c>
      <c r="I502" s="3" t="str">
        <v>Lead</v>
      </c>
      <c r="J502" s="3" t="str">
        <v>Liquid-1</v>
      </c>
      <c r="K502" s="3" t="str">
        <v/>
      </c>
      <c r="L502" s="3" t="str">
        <v/>
      </c>
      <c r="M502" s="3">
        <v>4770</v>
      </c>
      <c r="N502" s="3">
        <v>600.6</v>
      </c>
      <c r="O502" s="3">
        <v>298.14999999999998</v>
      </c>
      <c r="P502" s="3">
        <v>400</v>
      </c>
      <c r="Q502" s="3">
        <v>24.241165958714401</v>
      </c>
      <c r="R502" s="3">
        <v>0</v>
      </c>
      <c r="S502" s="3">
        <v>8.7046056442987105E-3</v>
      </c>
      <c r="T502" s="3">
        <v>1</v>
      </c>
      <c r="U502" s="3">
        <v>0</v>
      </c>
      <c r="V502" s="3">
        <v>0</v>
      </c>
      <c r="W502" s="3">
        <v>0</v>
      </c>
      <c r="X502" s="3">
        <v>0</v>
      </c>
      <c r="Y502" s="3">
        <v>0</v>
      </c>
      <c r="Z502" s="3">
        <v>0</v>
      </c>
      <c r="AA502" s="3">
        <v>0</v>
      </c>
      <c r="AB502" s="3">
        <v>0</v>
      </c>
      <c r="AC502" s="3">
        <v>0</v>
      </c>
      <c r="AD502" s="3">
        <v>0</v>
      </c>
      <c r="AE502" s="3">
        <v>0</v>
      </c>
      <c r="AF502" s="3">
        <v>0</v>
      </c>
    </row>
    <row r="503" spans="8:32" x14ac:dyDescent="0.35">
      <c r="H503" s="3" t="str">
        <v>Pb</v>
      </c>
      <c r="I503" s="3" t="str">
        <v>Lead</v>
      </c>
      <c r="J503" s="3" t="str">
        <v>Liquid-1</v>
      </c>
      <c r="K503" s="3" t="str">
        <v/>
      </c>
      <c r="L503" s="3" t="str">
        <v/>
      </c>
      <c r="M503" s="3">
        <v>4770</v>
      </c>
      <c r="N503" s="3">
        <v>600.6</v>
      </c>
      <c r="O503" s="3">
        <v>400</v>
      </c>
      <c r="P503" s="3">
        <v>1100</v>
      </c>
      <c r="Q503" s="3">
        <v>32.490957751940499</v>
      </c>
      <c r="R503" s="3">
        <v>0</v>
      </c>
      <c r="S503" s="3">
        <v>-3.0942065520505298E-3</v>
      </c>
      <c r="T503" s="3">
        <v>1</v>
      </c>
      <c r="U503" s="3">
        <v>0</v>
      </c>
      <c r="V503" s="3">
        <v>0</v>
      </c>
      <c r="W503" s="3">
        <v>0</v>
      </c>
      <c r="X503" s="3">
        <v>0</v>
      </c>
      <c r="Y503" s="3">
        <v>0</v>
      </c>
      <c r="Z503" s="3">
        <v>0</v>
      </c>
      <c r="AA503" s="3">
        <v>0</v>
      </c>
      <c r="AB503" s="3">
        <v>0</v>
      </c>
      <c r="AC503" s="3">
        <v>0</v>
      </c>
      <c r="AD503" s="3">
        <v>0</v>
      </c>
      <c r="AE503" s="3">
        <v>0</v>
      </c>
      <c r="AF503" s="3">
        <v>0</v>
      </c>
    </row>
    <row r="504" spans="8:32" x14ac:dyDescent="0.35">
      <c r="H504" s="3" t="str">
        <v>Pb</v>
      </c>
      <c r="I504" s="3" t="str">
        <v>Lead</v>
      </c>
      <c r="J504" s="3" t="str">
        <v>Liquid-1</v>
      </c>
      <c r="K504" s="3" t="str">
        <v/>
      </c>
      <c r="L504" s="3" t="str">
        <v/>
      </c>
      <c r="M504" s="3">
        <v>4770</v>
      </c>
      <c r="N504" s="3">
        <v>600.6</v>
      </c>
      <c r="O504" s="3">
        <v>1100</v>
      </c>
      <c r="P504" s="3">
        <v>2019.02</v>
      </c>
      <c r="Q504" s="3">
        <v>81.719025244143793</v>
      </c>
      <c r="R504" s="3">
        <v>0</v>
      </c>
      <c r="S504" s="3">
        <v>-2.09132879275452E-3</v>
      </c>
      <c r="T504" s="3">
        <v>1</v>
      </c>
      <c r="U504" s="3">
        <v>-2316841.4577430398</v>
      </c>
      <c r="V504" s="3">
        <v>-2</v>
      </c>
      <c r="W504" s="3">
        <v>66308.751632355401</v>
      </c>
      <c r="X504" s="3">
        <v>-1</v>
      </c>
      <c r="Y504" s="3">
        <v>-3605.0773305193702</v>
      </c>
      <c r="Z504" s="3">
        <v>-0.5</v>
      </c>
      <c r="AA504" s="3">
        <v>0</v>
      </c>
      <c r="AB504" s="3">
        <v>0</v>
      </c>
      <c r="AC504" s="3">
        <v>0</v>
      </c>
      <c r="AD504" s="3">
        <v>0</v>
      </c>
      <c r="AE504" s="3">
        <v>0</v>
      </c>
      <c r="AF504" s="3">
        <v>0</v>
      </c>
    </row>
    <row r="505" spans="8:32" x14ac:dyDescent="0.35">
      <c r="H505" s="3" t="str">
        <v>Pb</v>
      </c>
      <c r="I505" s="3" t="str">
        <v>Lead</v>
      </c>
      <c r="J505" s="3" t="str">
        <v>Liquid-1</v>
      </c>
      <c r="K505" s="3" t="str">
        <v/>
      </c>
      <c r="L505" s="3" t="str">
        <v/>
      </c>
      <c r="M505" s="3">
        <v>4770</v>
      </c>
      <c r="N505" s="3">
        <v>600.6</v>
      </c>
      <c r="O505" s="3">
        <v>2019.02</v>
      </c>
      <c r="P505" s="3">
        <v>3000</v>
      </c>
      <c r="Q505" s="3">
        <v>25.316306817985801</v>
      </c>
      <c r="R505" s="3">
        <v>0</v>
      </c>
      <c r="S505" s="3">
        <v>2.0914109066523302E-3</v>
      </c>
      <c r="T505" s="3">
        <v>1</v>
      </c>
      <c r="U505" s="3">
        <v>0</v>
      </c>
      <c r="V505" s="3">
        <v>0</v>
      </c>
      <c r="W505" s="3">
        <v>0</v>
      </c>
      <c r="X505" s="3">
        <v>0</v>
      </c>
      <c r="Y505" s="3">
        <v>0</v>
      </c>
      <c r="Z505" s="3">
        <v>0</v>
      </c>
      <c r="AA505" s="3">
        <v>0</v>
      </c>
      <c r="AB505" s="3">
        <v>0</v>
      </c>
      <c r="AC505" s="3">
        <v>0</v>
      </c>
      <c r="AD505" s="3">
        <v>0</v>
      </c>
      <c r="AE505" s="3">
        <v>0</v>
      </c>
      <c r="AF505" s="3">
        <v>0</v>
      </c>
    </row>
    <row r="506" spans="8:32" x14ac:dyDescent="0.35">
      <c r="H506" s="3" t="str">
        <v>Pb</v>
      </c>
      <c r="I506" s="3" t="str">
        <v>Lead</v>
      </c>
      <c r="J506" s="3" t="str">
        <v>Gas-1</v>
      </c>
      <c r="K506" s="3">
        <v>195200</v>
      </c>
      <c r="L506" s="3">
        <v>175.374</v>
      </c>
      <c r="M506" s="3" t="str">
        <v/>
      </c>
      <c r="N506" s="3" t="str">
        <v/>
      </c>
      <c r="O506" s="3">
        <v>298.14999999999998</v>
      </c>
      <c r="P506" s="3">
        <v>2019.02</v>
      </c>
      <c r="Q506" s="3">
        <v>32.161978306093602</v>
      </c>
      <c r="R506" s="3">
        <v>0</v>
      </c>
      <c r="S506" s="3">
        <v>-1.2638018560052301E-2</v>
      </c>
      <c r="T506" s="3">
        <v>1</v>
      </c>
      <c r="U506" s="3">
        <v>544500.66875712702</v>
      </c>
      <c r="V506" s="3">
        <v>-2</v>
      </c>
      <c r="W506" s="3">
        <v>4.9389637803763503E-6</v>
      </c>
      <c r="X506" s="3">
        <v>2</v>
      </c>
      <c r="Y506" s="3">
        <v>-4219.3416510075704</v>
      </c>
      <c r="Z506" s="3">
        <v>-1</v>
      </c>
      <c r="AA506" s="3">
        <v>0</v>
      </c>
      <c r="AB506" s="3">
        <v>0</v>
      </c>
      <c r="AC506" s="3">
        <v>0</v>
      </c>
      <c r="AD506" s="3">
        <v>0</v>
      </c>
      <c r="AE506" s="3">
        <v>0</v>
      </c>
      <c r="AF506" s="3">
        <v>0</v>
      </c>
    </row>
    <row r="507" spans="8:32" x14ac:dyDescent="0.35">
      <c r="H507" s="3" t="str">
        <v>Pb</v>
      </c>
      <c r="I507" s="3" t="str">
        <v>Lead</v>
      </c>
      <c r="J507" s="3" t="str">
        <v>Gas-1</v>
      </c>
      <c r="K507" s="3">
        <v>195200</v>
      </c>
      <c r="L507" s="3">
        <v>175.374</v>
      </c>
      <c r="M507" s="3" t="str">
        <v/>
      </c>
      <c r="N507" s="3" t="str">
        <v/>
      </c>
      <c r="O507" s="3">
        <v>2019.02</v>
      </c>
      <c r="P507" s="3">
        <v>3700</v>
      </c>
      <c r="Q507" s="3">
        <v>948.38368385088097</v>
      </c>
      <c r="R507" s="3">
        <v>0</v>
      </c>
      <c r="S507" s="3">
        <v>-4.55432179952708E-2</v>
      </c>
      <c r="T507" s="3">
        <v>1</v>
      </c>
      <c r="U507" s="3">
        <v>-307434901.44275099</v>
      </c>
      <c r="V507" s="3">
        <v>-2</v>
      </c>
      <c r="W507" s="3">
        <v>1700103.4233160999</v>
      </c>
      <c r="X507" s="3">
        <v>-1</v>
      </c>
      <c r="Y507" s="3">
        <v>-71814.288505560398</v>
      </c>
      <c r="Z507" s="3">
        <v>-0.5</v>
      </c>
      <c r="AA507" s="3">
        <v>0</v>
      </c>
      <c r="AB507" s="3">
        <v>0</v>
      </c>
      <c r="AC507" s="3">
        <v>0</v>
      </c>
      <c r="AD507" s="3">
        <v>0</v>
      </c>
      <c r="AE507" s="3">
        <v>0</v>
      </c>
      <c r="AF507" s="3">
        <v>0</v>
      </c>
    </row>
    <row r="508" spans="8:32" x14ac:dyDescent="0.35">
      <c r="H508" s="3" t="str">
        <v>Pb</v>
      </c>
      <c r="I508" s="3" t="str">
        <v>Lead</v>
      </c>
      <c r="J508" s="3" t="str">
        <v>Gas-1</v>
      </c>
      <c r="K508" s="3">
        <v>195200</v>
      </c>
      <c r="L508" s="3">
        <v>175.374</v>
      </c>
      <c r="M508" s="3" t="str">
        <v/>
      </c>
      <c r="N508" s="3" t="str">
        <v/>
      </c>
      <c r="O508" s="3">
        <v>3700</v>
      </c>
      <c r="P508" s="3">
        <v>6000</v>
      </c>
      <c r="Q508" s="3">
        <v>110.271765148189</v>
      </c>
      <c r="R508" s="3">
        <v>0</v>
      </c>
      <c r="S508" s="3">
        <v>-1225029823.4603901</v>
      </c>
      <c r="T508" s="3">
        <v>-2</v>
      </c>
      <c r="U508" s="3">
        <v>1195971.6321793599</v>
      </c>
      <c r="V508" s="3">
        <v>-1</v>
      </c>
      <c r="W508" s="3">
        <v>-18719.0402944579</v>
      </c>
      <c r="X508" s="3">
        <v>-0.5</v>
      </c>
      <c r="Y508" s="3">
        <v>0</v>
      </c>
      <c r="Z508" s="3">
        <v>0</v>
      </c>
      <c r="AA508" s="3">
        <v>0</v>
      </c>
      <c r="AB508" s="3">
        <v>0</v>
      </c>
      <c r="AC508" s="3">
        <v>0</v>
      </c>
      <c r="AD508" s="3">
        <v>0</v>
      </c>
      <c r="AE508" s="3">
        <v>0</v>
      </c>
      <c r="AF508" s="3">
        <v>0</v>
      </c>
    </row>
    <row r="509" spans="8:32" x14ac:dyDescent="0.35">
      <c r="H509" s="3" t="str">
        <v>Bi</v>
      </c>
      <c r="I509" s="3" t="str">
        <v>Bismuth</v>
      </c>
      <c r="J509" s="3" t="str">
        <v>Solid</v>
      </c>
      <c r="K509" s="3">
        <v>0</v>
      </c>
      <c r="L509" s="3">
        <v>56.735040000000005</v>
      </c>
      <c r="M509" s="3" t="str">
        <v/>
      </c>
      <c r="N509" s="3" t="str">
        <v/>
      </c>
      <c r="O509" s="3">
        <v>298</v>
      </c>
      <c r="P509" s="3">
        <v>544</v>
      </c>
      <c r="Q509" s="3">
        <v>2.8319999999999999</v>
      </c>
      <c r="R509" s="3">
        <v>0</v>
      </c>
      <c r="S509" s="3">
        <v>7.2820000000000003E-3</v>
      </c>
      <c r="T509" s="3">
        <v>1</v>
      </c>
      <c r="U509" s="3">
        <v>98100</v>
      </c>
      <c r="V509" s="3">
        <v>-2</v>
      </c>
      <c r="W509" s="3">
        <v>0</v>
      </c>
      <c r="X509" s="3">
        <v>0</v>
      </c>
      <c r="Y509" s="3">
        <v>0</v>
      </c>
      <c r="Z509" s="3">
        <v>0</v>
      </c>
      <c r="AA509" s="3">
        <v>0</v>
      </c>
      <c r="AB509" s="3">
        <v>0</v>
      </c>
      <c r="AC509" s="3">
        <v>0</v>
      </c>
      <c r="AD509" s="3">
        <v>0</v>
      </c>
      <c r="AE509" s="3">
        <v>0</v>
      </c>
      <c r="AF509" s="3">
        <v>0</v>
      </c>
    </row>
    <row r="510" spans="8:32" x14ac:dyDescent="0.35">
      <c r="H510" s="3" t="str">
        <v>Bi</v>
      </c>
      <c r="I510" s="3" t="str">
        <v>Bismuth</v>
      </c>
      <c r="J510" s="3" t="str">
        <v>Liquid</v>
      </c>
      <c r="K510" s="3" t="str">
        <v/>
      </c>
      <c r="L510" s="3" t="str">
        <v/>
      </c>
      <c r="M510" s="3">
        <v>11296.800000000001</v>
      </c>
      <c r="N510" s="3">
        <v>544</v>
      </c>
      <c r="O510" s="3">
        <v>544</v>
      </c>
      <c r="P510" s="3">
        <v>1200</v>
      </c>
      <c r="Q510" s="3">
        <v>4.5449999999999999</v>
      </c>
      <c r="R510" s="3">
        <v>0</v>
      </c>
      <c r="S510" s="3">
        <v>2.4789999999999999E-3</v>
      </c>
      <c r="T510" s="3">
        <v>1</v>
      </c>
      <c r="U510" s="3">
        <v>495700</v>
      </c>
      <c r="V510" s="3">
        <v>-2</v>
      </c>
      <c r="W510" s="3">
        <v>-9.5099999999999998E-7</v>
      </c>
      <c r="X510" s="3">
        <v>2</v>
      </c>
      <c r="Y510" s="3">
        <v>0</v>
      </c>
      <c r="Z510" s="3">
        <v>0</v>
      </c>
      <c r="AA510" s="3">
        <v>0</v>
      </c>
      <c r="AB510" s="3">
        <v>0</v>
      </c>
      <c r="AC510" s="3">
        <v>0</v>
      </c>
      <c r="AD510" s="3">
        <v>0</v>
      </c>
      <c r="AE510" s="3">
        <v>0</v>
      </c>
      <c r="AF510" s="3">
        <v>0</v>
      </c>
    </row>
    <row r="511" spans="8:32" x14ac:dyDescent="0.35">
      <c r="H511" s="3" t="str">
        <v>Bi</v>
      </c>
      <c r="I511" s="3" t="str">
        <v>Bismuth</v>
      </c>
      <c r="J511" s="3" t="str">
        <v>Liquid</v>
      </c>
      <c r="K511" s="3" t="str">
        <v/>
      </c>
      <c r="L511" s="3" t="str">
        <v/>
      </c>
      <c r="M511" s="3">
        <v>11296.800000000001</v>
      </c>
      <c r="N511" s="3">
        <v>544</v>
      </c>
      <c r="O511" s="3">
        <v>1200</v>
      </c>
      <c r="P511" s="3">
        <v>1837</v>
      </c>
      <c r="Q511" s="3">
        <v>6.5</v>
      </c>
      <c r="R511" s="3">
        <v>0</v>
      </c>
      <c r="S511" s="3">
        <v>0</v>
      </c>
      <c r="T511" s="3">
        <v>0</v>
      </c>
      <c r="U511" s="3">
        <v>0</v>
      </c>
      <c r="V511" s="3">
        <v>0</v>
      </c>
      <c r="W511" s="3">
        <v>0</v>
      </c>
      <c r="X511" s="3">
        <v>0</v>
      </c>
      <c r="Y511" s="3">
        <v>0</v>
      </c>
      <c r="Z511" s="3">
        <v>0</v>
      </c>
      <c r="AA511" s="3">
        <v>0</v>
      </c>
      <c r="AB511" s="3">
        <v>0</v>
      </c>
      <c r="AC511" s="3">
        <v>0</v>
      </c>
      <c r="AD511" s="3">
        <v>0</v>
      </c>
      <c r="AE511" s="3">
        <v>0</v>
      </c>
      <c r="AF511" s="3">
        <v>0</v>
      </c>
    </row>
    <row r="512" spans="8:32" x14ac:dyDescent="0.35">
      <c r="H512" s="3" t="str">
        <v>Bi</v>
      </c>
      <c r="I512" s="3" t="str">
        <v>Bismuth</v>
      </c>
      <c r="J512" s="3" t="str">
        <v>Gas</v>
      </c>
      <c r="K512" s="3">
        <v>210873.60000000001</v>
      </c>
      <c r="L512" s="3">
        <v>186.89928</v>
      </c>
      <c r="M512" s="3" t="str">
        <v/>
      </c>
      <c r="N512" s="3" t="str">
        <v/>
      </c>
      <c r="O512" s="3">
        <v>298</v>
      </c>
      <c r="P512" s="3">
        <v>1200</v>
      </c>
      <c r="Q512" s="3">
        <v>4.968</v>
      </c>
      <c r="R512" s="3">
        <v>0</v>
      </c>
      <c r="S512" s="3">
        <v>0</v>
      </c>
      <c r="T512" s="3">
        <v>0</v>
      </c>
      <c r="U512" s="3">
        <v>0</v>
      </c>
      <c r="V512" s="3">
        <v>0</v>
      </c>
      <c r="W512" s="3">
        <v>0</v>
      </c>
      <c r="X512" s="3">
        <v>0</v>
      </c>
      <c r="Y512" s="3">
        <v>0</v>
      </c>
      <c r="Z512" s="3">
        <v>0</v>
      </c>
      <c r="AA512" s="3">
        <v>0</v>
      </c>
      <c r="AB512" s="3">
        <v>0</v>
      </c>
      <c r="AC512" s="3">
        <v>0</v>
      </c>
      <c r="AD512" s="3">
        <v>0</v>
      </c>
      <c r="AE512" s="3">
        <v>0</v>
      </c>
      <c r="AF512" s="3">
        <v>0</v>
      </c>
    </row>
    <row r="513" spans="8:32" x14ac:dyDescent="0.35">
      <c r="H513" s="3" t="str">
        <v>Bi</v>
      </c>
      <c r="I513" s="3" t="str">
        <v>Bismuth</v>
      </c>
      <c r="J513" s="3" t="str">
        <v>Gas</v>
      </c>
      <c r="K513" s="3">
        <v>210873.60000000001</v>
      </c>
      <c r="L513" s="3">
        <v>186.89928</v>
      </c>
      <c r="M513" s="3" t="str">
        <v/>
      </c>
      <c r="N513" s="3" t="str">
        <v/>
      </c>
      <c r="O513" s="3">
        <v>1200</v>
      </c>
      <c r="P513" s="3">
        <v>1500</v>
      </c>
      <c r="Q513" s="3">
        <v>4.952</v>
      </c>
      <c r="R513" s="3">
        <v>0</v>
      </c>
      <c r="S513" s="3">
        <v>1.2999999999999999E-5</v>
      </c>
      <c r="T513" s="3">
        <v>1</v>
      </c>
      <c r="U513" s="3">
        <v>0</v>
      </c>
      <c r="V513" s="3">
        <v>0</v>
      </c>
      <c r="W513" s="3">
        <v>0</v>
      </c>
      <c r="X513" s="3">
        <v>0</v>
      </c>
      <c r="Y513" s="3">
        <v>0</v>
      </c>
      <c r="Z513" s="3">
        <v>0</v>
      </c>
      <c r="AA513" s="3">
        <v>0</v>
      </c>
      <c r="AB513" s="3">
        <v>0</v>
      </c>
      <c r="AC513" s="3">
        <v>0</v>
      </c>
      <c r="AD513" s="3">
        <v>0</v>
      </c>
      <c r="AE513" s="3">
        <v>0</v>
      </c>
      <c r="AF513" s="3">
        <v>0</v>
      </c>
    </row>
    <row r="514" spans="8:32" x14ac:dyDescent="0.35">
      <c r="H514" s="3" t="str">
        <v>Bi</v>
      </c>
      <c r="I514" s="3" t="str">
        <v>Bismuth</v>
      </c>
      <c r="J514" s="3" t="str">
        <v>Gas</v>
      </c>
      <c r="K514" s="3">
        <v>210873.60000000001</v>
      </c>
      <c r="L514" s="3">
        <v>186.89928</v>
      </c>
      <c r="M514" s="3" t="str">
        <v/>
      </c>
      <c r="N514" s="3" t="str">
        <v/>
      </c>
      <c r="O514" s="3">
        <v>1500</v>
      </c>
      <c r="P514" s="3">
        <v>1837</v>
      </c>
      <c r="Q514" s="3">
        <v>4.8860000000000001</v>
      </c>
      <c r="R514" s="3">
        <v>0</v>
      </c>
      <c r="S514" s="3">
        <v>5.7000000000000003E-5</v>
      </c>
      <c r="T514" s="3">
        <v>1</v>
      </c>
      <c r="U514" s="3">
        <v>0</v>
      </c>
      <c r="V514" s="3">
        <v>0</v>
      </c>
      <c r="W514" s="3">
        <v>0</v>
      </c>
      <c r="X514" s="3">
        <v>0</v>
      </c>
      <c r="Y514" s="3">
        <v>0</v>
      </c>
      <c r="Z514" s="3">
        <v>0</v>
      </c>
      <c r="AA514" s="3">
        <v>0</v>
      </c>
      <c r="AB514" s="3">
        <v>0</v>
      </c>
      <c r="AC514" s="3">
        <v>0</v>
      </c>
      <c r="AD514" s="3">
        <v>0</v>
      </c>
      <c r="AE514" s="3">
        <v>0</v>
      </c>
      <c r="AF514" s="3">
        <v>0</v>
      </c>
    </row>
    <row r="515" spans="8:32" x14ac:dyDescent="0.35">
      <c r="H515" s="3" t="str">
        <v>Bi</v>
      </c>
      <c r="I515" s="3" t="str">
        <v>Bismuth</v>
      </c>
      <c r="J515" s="3" t="str">
        <v>Gas</v>
      </c>
      <c r="K515" s="3">
        <v>210873.60000000001</v>
      </c>
      <c r="L515" s="3">
        <v>186.89928</v>
      </c>
      <c r="M515" s="3" t="str">
        <v/>
      </c>
      <c r="N515" s="3" t="str">
        <v/>
      </c>
      <c r="O515" s="3">
        <v>1837</v>
      </c>
      <c r="P515" s="3">
        <v>2000</v>
      </c>
      <c r="Q515" s="3">
        <v>4.7759999999999998</v>
      </c>
      <c r="R515" s="3">
        <v>0</v>
      </c>
      <c r="S515" s="3">
        <v>1.17E-4</v>
      </c>
      <c r="T515" s="3">
        <v>1</v>
      </c>
      <c r="U515" s="3">
        <v>0</v>
      </c>
      <c r="V515" s="3">
        <v>0</v>
      </c>
      <c r="W515" s="3">
        <v>0</v>
      </c>
      <c r="X515" s="3">
        <v>0</v>
      </c>
      <c r="Y515" s="3">
        <v>0</v>
      </c>
      <c r="Z515" s="3">
        <v>0</v>
      </c>
      <c r="AA515" s="3">
        <v>0</v>
      </c>
      <c r="AB515" s="3">
        <v>0</v>
      </c>
      <c r="AC515" s="3">
        <v>0</v>
      </c>
      <c r="AD515" s="3">
        <v>0</v>
      </c>
      <c r="AE515" s="3">
        <v>0</v>
      </c>
      <c r="AF515" s="3">
        <v>0</v>
      </c>
    </row>
    <row r="516" spans="8:32" x14ac:dyDescent="0.35">
      <c r="H516" s="3" t="str">
        <v>Po</v>
      </c>
      <c r="I516" s="3" t="str">
        <v>Polonium</v>
      </c>
      <c r="J516" s="3" t="str">
        <v>Solid</v>
      </c>
      <c r="K516" s="3">
        <v>0</v>
      </c>
      <c r="L516" s="3">
        <v>0</v>
      </c>
      <c r="M516" s="3" t="str">
        <v/>
      </c>
      <c r="N516" s="3" t="str">
        <v/>
      </c>
      <c r="O516" s="3">
        <v>298</v>
      </c>
      <c r="P516" s="3">
        <v>298</v>
      </c>
      <c r="Q516" s="3">
        <v>0</v>
      </c>
      <c r="R516" s="3">
        <v>0</v>
      </c>
      <c r="S516" s="3">
        <v>0</v>
      </c>
      <c r="T516" s="3">
        <v>0</v>
      </c>
      <c r="U516" s="3">
        <v>0</v>
      </c>
      <c r="V516" s="3">
        <v>0</v>
      </c>
      <c r="W516" s="3">
        <v>0</v>
      </c>
      <c r="X516" s="3">
        <v>0</v>
      </c>
      <c r="Y516" s="3">
        <v>0</v>
      </c>
      <c r="Z516" s="3">
        <v>0</v>
      </c>
      <c r="AA516" s="3">
        <v>0</v>
      </c>
      <c r="AB516" s="3">
        <v>0</v>
      </c>
      <c r="AC516" s="3">
        <v>0</v>
      </c>
      <c r="AD516" s="3">
        <v>0</v>
      </c>
      <c r="AE516" s="3">
        <v>0</v>
      </c>
      <c r="AF516" s="3">
        <v>0</v>
      </c>
    </row>
    <row r="517" spans="8:32" x14ac:dyDescent="0.35">
      <c r="H517" s="3" t="str">
        <v>Rn</v>
      </c>
      <c r="I517" s="3" t="str">
        <v>Radon</v>
      </c>
      <c r="J517" s="3" t="str">
        <v>Gas-1</v>
      </c>
      <c r="K517" s="3">
        <v>0</v>
      </c>
      <c r="L517" s="3">
        <v>176.23500000000001</v>
      </c>
      <c r="M517" s="3" t="str">
        <v/>
      </c>
      <c r="N517" s="3" t="str">
        <v/>
      </c>
      <c r="O517" s="3">
        <v>298.14999999999998</v>
      </c>
      <c r="P517" s="3">
        <v>6000</v>
      </c>
      <c r="Q517" s="3">
        <v>20.786000000000001</v>
      </c>
      <c r="R517" s="3">
        <v>0</v>
      </c>
      <c r="S517" s="3">
        <v>0</v>
      </c>
      <c r="T517" s="3">
        <v>0</v>
      </c>
      <c r="U517" s="3">
        <v>0</v>
      </c>
      <c r="V517" s="3">
        <v>0</v>
      </c>
      <c r="W517" s="3">
        <v>0</v>
      </c>
      <c r="X517" s="3">
        <v>0</v>
      </c>
      <c r="Y517" s="3">
        <v>0</v>
      </c>
      <c r="Z517" s="3">
        <v>0</v>
      </c>
      <c r="AA517" s="3">
        <v>0</v>
      </c>
      <c r="AB517" s="3">
        <v>0</v>
      </c>
      <c r="AC517" s="3">
        <v>0</v>
      </c>
      <c r="AD517" s="3">
        <v>0</v>
      </c>
      <c r="AE517" s="3">
        <v>0</v>
      </c>
      <c r="AF517" s="3">
        <v>0</v>
      </c>
    </row>
    <row r="518" spans="8:32" x14ac:dyDescent="0.35">
      <c r="H518" s="3" t="str">
        <v>Ra</v>
      </c>
      <c r="I518" s="3" t="str">
        <v>Radium</v>
      </c>
      <c r="J518" s="3" t="str">
        <v>Solid</v>
      </c>
      <c r="K518" s="3">
        <v>0</v>
      </c>
      <c r="L518" s="3">
        <v>71.128</v>
      </c>
      <c r="M518" s="3" t="str">
        <v/>
      </c>
      <c r="N518" s="3" t="str">
        <v/>
      </c>
      <c r="O518" s="3">
        <v>298</v>
      </c>
      <c r="P518" s="3">
        <v>310</v>
      </c>
      <c r="Q518" s="3">
        <v>6</v>
      </c>
      <c r="R518" s="3">
        <v>0</v>
      </c>
      <c r="S518" s="3">
        <v>0</v>
      </c>
      <c r="T518" s="3">
        <v>0</v>
      </c>
      <c r="U518" s="3">
        <v>0</v>
      </c>
      <c r="V518" s="3">
        <v>0</v>
      </c>
      <c r="W518" s="3">
        <v>0</v>
      </c>
      <c r="X518" s="3">
        <v>0</v>
      </c>
      <c r="Y518" s="3">
        <v>0</v>
      </c>
      <c r="Z518" s="3">
        <v>0</v>
      </c>
      <c r="AA518" s="3">
        <v>0</v>
      </c>
      <c r="AB518" s="3">
        <v>0</v>
      </c>
      <c r="AC518" s="3">
        <v>0</v>
      </c>
      <c r="AD518" s="3">
        <v>0</v>
      </c>
      <c r="AE518" s="3">
        <v>0</v>
      </c>
      <c r="AF518" s="3">
        <v>0</v>
      </c>
    </row>
    <row r="519" spans="8:32" x14ac:dyDescent="0.35">
      <c r="H519" s="3" t="str">
        <v>Ra</v>
      </c>
      <c r="I519" s="3" t="str">
        <v>Radium</v>
      </c>
      <c r="J519" s="3" t="str">
        <v>Gas</v>
      </c>
      <c r="K519" s="3">
        <v>158992</v>
      </c>
      <c r="L519" s="3">
        <v>176.35560000000001</v>
      </c>
      <c r="M519" s="3" t="str">
        <v/>
      </c>
      <c r="N519" s="3" t="str">
        <v/>
      </c>
      <c r="O519" s="3">
        <v>295</v>
      </c>
      <c r="P519" s="3">
        <v>300</v>
      </c>
      <c r="Q519" s="3">
        <v>4.97</v>
      </c>
      <c r="R519" s="3">
        <v>0</v>
      </c>
      <c r="S519" s="3">
        <v>0</v>
      </c>
      <c r="T519" s="3">
        <v>0</v>
      </c>
      <c r="U519" s="3">
        <v>0</v>
      </c>
      <c r="V519" s="3">
        <v>0</v>
      </c>
      <c r="W519" s="3">
        <v>0</v>
      </c>
      <c r="X519" s="3">
        <v>0</v>
      </c>
      <c r="Y519" s="3">
        <v>0</v>
      </c>
      <c r="Z519" s="3">
        <v>0</v>
      </c>
      <c r="AA519" s="3">
        <v>0</v>
      </c>
      <c r="AB519" s="3">
        <v>0</v>
      </c>
      <c r="AC519" s="3">
        <v>0</v>
      </c>
      <c r="AD519" s="3">
        <v>0</v>
      </c>
      <c r="AE519" s="3">
        <v>0</v>
      </c>
      <c r="AF519" s="3">
        <v>0</v>
      </c>
    </row>
    <row r="520" spans="8:32" x14ac:dyDescent="0.35">
      <c r="H520" s="3" t="str">
        <v>Th</v>
      </c>
      <c r="I520" s="3" t="str">
        <v>Thorium</v>
      </c>
      <c r="J520" s="3" t="str">
        <v>Solid-A</v>
      </c>
      <c r="K520" s="3">
        <v>0</v>
      </c>
      <c r="L520" s="3">
        <v>53.387840000000004</v>
      </c>
      <c r="M520" s="3" t="str">
        <v/>
      </c>
      <c r="N520" s="3" t="str">
        <v/>
      </c>
      <c r="O520" s="3">
        <v>298</v>
      </c>
      <c r="P520" s="3">
        <v>1636</v>
      </c>
      <c r="Q520" s="3">
        <v>5.63</v>
      </c>
      <c r="R520" s="3">
        <v>0</v>
      </c>
      <c r="S520" s="3">
        <v>3.0400000000000002E-3</v>
      </c>
      <c r="T520" s="3">
        <v>1</v>
      </c>
      <c r="U520" s="3">
        <v>0</v>
      </c>
      <c r="V520" s="3">
        <v>0</v>
      </c>
      <c r="W520" s="3">
        <v>0</v>
      </c>
      <c r="X520" s="3">
        <v>0</v>
      </c>
      <c r="Y520" s="3">
        <v>0</v>
      </c>
      <c r="Z520" s="3">
        <v>0</v>
      </c>
      <c r="AA520" s="3">
        <v>0</v>
      </c>
      <c r="AB520" s="3">
        <v>0</v>
      </c>
      <c r="AC520" s="3">
        <v>0</v>
      </c>
      <c r="AD520" s="3">
        <v>0</v>
      </c>
      <c r="AE520" s="3">
        <v>0</v>
      </c>
      <c r="AF520" s="3">
        <v>0</v>
      </c>
    </row>
    <row r="521" spans="8:32" x14ac:dyDescent="0.35">
      <c r="H521" s="3" t="str">
        <v>Th</v>
      </c>
      <c r="I521" s="3" t="str">
        <v>Thorium</v>
      </c>
      <c r="J521" s="3" t="str">
        <v>Solid-B</v>
      </c>
      <c r="K521" s="3" t="str">
        <v/>
      </c>
      <c r="L521" s="3" t="str">
        <v/>
      </c>
      <c r="M521" s="3">
        <v>2736.3360000000002</v>
      </c>
      <c r="N521" s="3">
        <v>1636</v>
      </c>
      <c r="O521" s="3">
        <v>1636</v>
      </c>
      <c r="P521" s="3">
        <v>2028</v>
      </c>
      <c r="Q521" s="3">
        <v>11</v>
      </c>
      <c r="R521" s="3">
        <v>0</v>
      </c>
      <c r="S521" s="3">
        <v>0</v>
      </c>
      <c r="T521" s="3">
        <v>0</v>
      </c>
      <c r="U521" s="3">
        <v>0</v>
      </c>
      <c r="V521" s="3">
        <v>0</v>
      </c>
      <c r="W521" s="3">
        <v>0</v>
      </c>
      <c r="X521" s="3">
        <v>0</v>
      </c>
      <c r="Y521" s="3">
        <v>0</v>
      </c>
      <c r="Z521" s="3">
        <v>0</v>
      </c>
      <c r="AA521" s="3">
        <v>0</v>
      </c>
      <c r="AB521" s="3">
        <v>0</v>
      </c>
      <c r="AC521" s="3">
        <v>0</v>
      </c>
      <c r="AD521" s="3">
        <v>0</v>
      </c>
      <c r="AE521" s="3">
        <v>0</v>
      </c>
      <c r="AF521" s="3">
        <v>0</v>
      </c>
    </row>
    <row r="522" spans="8:32" x14ac:dyDescent="0.35">
      <c r="H522" s="3" t="str">
        <v>Th</v>
      </c>
      <c r="I522" s="3" t="str">
        <v>Thorium</v>
      </c>
      <c r="J522" s="3" t="str">
        <v>Liquid</v>
      </c>
      <c r="K522" s="3" t="str">
        <v/>
      </c>
      <c r="L522" s="3" t="str">
        <v/>
      </c>
      <c r="M522" s="3">
        <v>16120.952000000001</v>
      </c>
      <c r="N522" s="3">
        <v>2028</v>
      </c>
      <c r="O522" s="3">
        <v>2028</v>
      </c>
      <c r="P522" s="3">
        <v>3500</v>
      </c>
      <c r="Q522" s="3">
        <v>11</v>
      </c>
      <c r="R522" s="3">
        <v>0</v>
      </c>
      <c r="S522" s="3">
        <v>0</v>
      </c>
      <c r="T522" s="3">
        <v>0</v>
      </c>
      <c r="U522" s="3">
        <v>0</v>
      </c>
      <c r="V522" s="3">
        <v>0</v>
      </c>
      <c r="W522" s="3">
        <v>0</v>
      </c>
      <c r="X522" s="3">
        <v>0</v>
      </c>
      <c r="Y522" s="3">
        <v>0</v>
      </c>
      <c r="Z522" s="3">
        <v>0</v>
      </c>
      <c r="AA522" s="3">
        <v>0</v>
      </c>
      <c r="AB522" s="3">
        <v>0</v>
      </c>
      <c r="AC522" s="3">
        <v>0</v>
      </c>
      <c r="AD522" s="3">
        <v>0</v>
      </c>
      <c r="AE522" s="3">
        <v>0</v>
      </c>
      <c r="AF522" s="3">
        <v>0</v>
      </c>
    </row>
    <row r="523" spans="8:32" x14ac:dyDescent="0.35">
      <c r="H523" s="3" t="str">
        <v>U</v>
      </c>
      <c r="I523" s="3" t="str">
        <v>Uranium</v>
      </c>
      <c r="J523" s="3" t="str">
        <v>Solid-A</v>
      </c>
      <c r="K523" s="3">
        <v>0</v>
      </c>
      <c r="L523" s="3">
        <v>50.291679999999999</v>
      </c>
      <c r="M523" s="3" t="str">
        <v/>
      </c>
      <c r="N523" s="3" t="str">
        <v/>
      </c>
      <c r="O523" s="3">
        <v>298</v>
      </c>
      <c r="P523" s="3">
        <v>942</v>
      </c>
      <c r="Q523" s="3">
        <v>6.4340000000000002</v>
      </c>
      <c r="R523" s="3">
        <v>0</v>
      </c>
      <c r="S523" s="3">
        <v>-5.9800000000000001E-4</v>
      </c>
      <c r="T523" s="3">
        <v>1</v>
      </c>
      <c r="U523" s="3">
        <v>-18400</v>
      </c>
      <c r="V523" s="3">
        <v>-2</v>
      </c>
      <c r="W523" s="3">
        <v>6.3474999999999998E-6</v>
      </c>
      <c r="X523" s="3">
        <v>2</v>
      </c>
      <c r="Y523" s="3">
        <v>0</v>
      </c>
      <c r="Z523" s="3">
        <v>0</v>
      </c>
      <c r="AA523" s="3">
        <v>0</v>
      </c>
      <c r="AB523" s="3">
        <v>0</v>
      </c>
      <c r="AC523" s="3">
        <v>0</v>
      </c>
      <c r="AD523" s="3">
        <v>0</v>
      </c>
      <c r="AE523" s="3">
        <v>0</v>
      </c>
      <c r="AF523" s="3">
        <v>0</v>
      </c>
    </row>
    <row r="524" spans="8:32" x14ac:dyDescent="0.35">
      <c r="H524" s="3" t="str">
        <v>U</v>
      </c>
      <c r="I524" s="3" t="str">
        <v>Uranium</v>
      </c>
      <c r="J524" s="3" t="str">
        <v>Solid-A</v>
      </c>
      <c r="K524" s="3">
        <v>0</v>
      </c>
      <c r="L524" s="3">
        <v>50.291679999999999</v>
      </c>
      <c r="M524" s="3" t="str">
        <v/>
      </c>
      <c r="N524" s="3" t="str">
        <v/>
      </c>
      <c r="O524" s="3">
        <v>942</v>
      </c>
      <c r="P524" s="3">
        <v>5000</v>
      </c>
      <c r="Q524" s="3">
        <v>10.26</v>
      </c>
      <c r="R524" s="3">
        <v>0</v>
      </c>
      <c r="S524" s="3">
        <v>0</v>
      </c>
      <c r="T524" s="3">
        <v>0</v>
      </c>
      <c r="U524" s="3">
        <v>0</v>
      </c>
      <c r="V524" s="3">
        <v>0</v>
      </c>
      <c r="W524" s="3">
        <v>0</v>
      </c>
      <c r="X524" s="3">
        <v>0</v>
      </c>
      <c r="Y524" s="3">
        <v>0</v>
      </c>
      <c r="Z524" s="3">
        <v>0</v>
      </c>
      <c r="AA524" s="3">
        <v>0</v>
      </c>
      <c r="AB524" s="3">
        <v>0</v>
      </c>
      <c r="AC524" s="3">
        <v>0</v>
      </c>
      <c r="AD524" s="3">
        <v>0</v>
      </c>
      <c r="AE524" s="3">
        <v>0</v>
      </c>
      <c r="AF524" s="3">
        <v>0</v>
      </c>
    </row>
    <row r="525" spans="8:32" x14ac:dyDescent="0.35">
      <c r="H525" s="3" t="str">
        <v>U</v>
      </c>
      <c r="I525" s="3" t="str">
        <v>Uranium</v>
      </c>
      <c r="J525" s="3" t="str">
        <v>Solid-B</v>
      </c>
      <c r="K525" s="3" t="str">
        <v/>
      </c>
      <c r="L525" s="3" t="str">
        <v/>
      </c>
      <c r="M525" s="3">
        <v>2790.7280000000001</v>
      </c>
      <c r="N525" s="3">
        <v>942</v>
      </c>
      <c r="O525" s="3">
        <v>298</v>
      </c>
      <c r="P525" s="3">
        <v>942</v>
      </c>
      <c r="Q525" s="3">
        <v>6.4340000000000002</v>
      </c>
      <c r="R525" s="3">
        <v>0</v>
      </c>
      <c r="S525" s="3">
        <v>-5.9800000000000001E-4</v>
      </c>
      <c r="T525" s="3">
        <v>1</v>
      </c>
      <c r="U525" s="3">
        <v>-18400</v>
      </c>
      <c r="V525" s="3">
        <v>-2</v>
      </c>
      <c r="W525" s="3">
        <v>6.3474999999999998E-6</v>
      </c>
      <c r="X525" s="3">
        <v>2</v>
      </c>
      <c r="Y525" s="3">
        <v>0</v>
      </c>
      <c r="Z525" s="3">
        <v>0</v>
      </c>
      <c r="AA525" s="3">
        <v>0</v>
      </c>
      <c r="AB525" s="3">
        <v>0</v>
      </c>
      <c r="AC525" s="3">
        <v>0</v>
      </c>
      <c r="AD525" s="3">
        <v>0</v>
      </c>
      <c r="AE525" s="3">
        <v>0</v>
      </c>
      <c r="AF525" s="3">
        <v>0</v>
      </c>
    </row>
    <row r="526" spans="8:32" x14ac:dyDescent="0.35">
      <c r="H526" s="3" t="str">
        <v>U</v>
      </c>
      <c r="I526" s="3" t="str">
        <v>Uranium</v>
      </c>
      <c r="J526" s="3" t="str">
        <v>Solid-B</v>
      </c>
      <c r="K526" s="3" t="str">
        <v/>
      </c>
      <c r="L526" s="3" t="str">
        <v/>
      </c>
      <c r="M526" s="3">
        <v>2790.7280000000001</v>
      </c>
      <c r="N526" s="3">
        <v>942</v>
      </c>
      <c r="O526" s="3">
        <v>942</v>
      </c>
      <c r="P526" s="3">
        <v>1049</v>
      </c>
      <c r="Q526" s="3">
        <v>10.26</v>
      </c>
      <c r="R526" s="3">
        <v>0</v>
      </c>
      <c r="S526" s="3">
        <v>0</v>
      </c>
      <c r="T526" s="3">
        <v>0</v>
      </c>
      <c r="U526" s="3">
        <v>0</v>
      </c>
      <c r="V526" s="3">
        <v>0</v>
      </c>
      <c r="W526" s="3">
        <v>0</v>
      </c>
      <c r="X526" s="3">
        <v>0</v>
      </c>
      <c r="Y526" s="3">
        <v>0</v>
      </c>
      <c r="Z526" s="3">
        <v>0</v>
      </c>
      <c r="AA526" s="3">
        <v>0</v>
      </c>
      <c r="AB526" s="3">
        <v>0</v>
      </c>
      <c r="AC526" s="3">
        <v>0</v>
      </c>
      <c r="AD526" s="3">
        <v>0</v>
      </c>
      <c r="AE526" s="3">
        <v>0</v>
      </c>
      <c r="AF526" s="3">
        <v>0</v>
      </c>
    </row>
    <row r="527" spans="8:32" x14ac:dyDescent="0.35">
      <c r="H527" s="3" t="str">
        <v>U</v>
      </c>
      <c r="I527" s="3" t="str">
        <v>Uranium</v>
      </c>
      <c r="J527" s="3" t="str">
        <v>Solid-B</v>
      </c>
      <c r="K527" s="3" t="str">
        <v/>
      </c>
      <c r="L527" s="3" t="str">
        <v/>
      </c>
      <c r="M527" s="3">
        <v>2790.7280000000001</v>
      </c>
      <c r="N527" s="3">
        <v>942</v>
      </c>
      <c r="O527" s="3">
        <v>1049</v>
      </c>
      <c r="P527" s="3">
        <v>5000</v>
      </c>
      <c r="Q527" s="3">
        <v>9.15</v>
      </c>
      <c r="R527" s="3">
        <v>0</v>
      </c>
      <c r="S527" s="3">
        <v>0</v>
      </c>
      <c r="T527" s="3">
        <v>0</v>
      </c>
      <c r="U527" s="3">
        <v>0</v>
      </c>
      <c r="V527" s="3">
        <v>0</v>
      </c>
      <c r="W527" s="3">
        <v>0</v>
      </c>
      <c r="X527" s="3">
        <v>0</v>
      </c>
      <c r="Y527" s="3">
        <v>0</v>
      </c>
      <c r="Z527" s="3">
        <v>0</v>
      </c>
      <c r="AA527" s="3">
        <v>0</v>
      </c>
      <c r="AB527" s="3">
        <v>0</v>
      </c>
      <c r="AC527" s="3">
        <v>0</v>
      </c>
      <c r="AD527" s="3">
        <v>0</v>
      </c>
      <c r="AE527" s="3">
        <v>0</v>
      </c>
      <c r="AF527" s="3">
        <v>0</v>
      </c>
    </row>
    <row r="528" spans="8:32" x14ac:dyDescent="0.35">
      <c r="H528" s="3" t="str">
        <v>U</v>
      </c>
      <c r="I528" s="3" t="str">
        <v>Uranium</v>
      </c>
      <c r="J528" s="3" t="str">
        <v>Solid-C</v>
      </c>
      <c r="K528" s="3" t="str">
        <v/>
      </c>
      <c r="L528" s="3" t="str">
        <v/>
      </c>
      <c r="M528" s="3">
        <v>4757.2080000000005</v>
      </c>
      <c r="N528" s="3">
        <v>1049</v>
      </c>
      <c r="O528" s="3">
        <v>298.14999999999998</v>
      </c>
      <c r="P528" s="3">
        <v>1049</v>
      </c>
      <c r="Q528" s="3">
        <v>10.26</v>
      </c>
      <c r="R528" s="3">
        <v>0</v>
      </c>
      <c r="S528" s="3">
        <v>0</v>
      </c>
      <c r="T528" s="3">
        <v>0</v>
      </c>
      <c r="U528" s="3">
        <v>0</v>
      </c>
      <c r="V528" s="3">
        <v>0</v>
      </c>
      <c r="W528" s="3">
        <v>0</v>
      </c>
      <c r="X528" s="3">
        <v>0</v>
      </c>
      <c r="Y528" s="3">
        <v>0</v>
      </c>
      <c r="Z528" s="3">
        <v>0</v>
      </c>
      <c r="AA528" s="3">
        <v>0</v>
      </c>
      <c r="AB528" s="3">
        <v>0</v>
      </c>
      <c r="AC528" s="3">
        <v>0</v>
      </c>
      <c r="AD528" s="3">
        <v>0</v>
      </c>
      <c r="AE528" s="3">
        <v>0</v>
      </c>
      <c r="AF528" s="3">
        <v>0</v>
      </c>
    </row>
    <row r="529" spans="8:32" x14ac:dyDescent="0.35">
      <c r="H529" s="3" t="str">
        <v>U</v>
      </c>
      <c r="I529" s="3" t="str">
        <v>Uranium</v>
      </c>
      <c r="J529" s="3" t="str">
        <v>Solid-C</v>
      </c>
      <c r="K529" s="3" t="str">
        <v/>
      </c>
      <c r="L529" s="3" t="str">
        <v/>
      </c>
      <c r="M529" s="3">
        <v>4757.2080000000005</v>
      </c>
      <c r="N529" s="3">
        <v>1049</v>
      </c>
      <c r="O529" s="3">
        <v>1049</v>
      </c>
      <c r="P529" s="3">
        <v>1405</v>
      </c>
      <c r="Q529" s="3">
        <v>9.15</v>
      </c>
      <c r="R529" s="3">
        <v>0</v>
      </c>
      <c r="S529" s="3">
        <v>0</v>
      </c>
      <c r="T529" s="3">
        <v>0</v>
      </c>
      <c r="U529" s="3">
        <v>0</v>
      </c>
      <c r="V529" s="3">
        <v>0</v>
      </c>
      <c r="W529" s="3">
        <v>0</v>
      </c>
      <c r="X529" s="3">
        <v>0</v>
      </c>
      <c r="Y529" s="3">
        <v>0</v>
      </c>
      <c r="Z529" s="3">
        <v>0</v>
      </c>
      <c r="AA529" s="3">
        <v>0</v>
      </c>
      <c r="AB529" s="3">
        <v>0</v>
      </c>
      <c r="AC529" s="3">
        <v>0</v>
      </c>
      <c r="AD529" s="3">
        <v>0</v>
      </c>
      <c r="AE529" s="3">
        <v>0</v>
      </c>
      <c r="AF529" s="3">
        <v>0</v>
      </c>
    </row>
    <row r="530" spans="8:32" x14ac:dyDescent="0.35">
      <c r="H530" s="3" t="str">
        <v>U</v>
      </c>
      <c r="I530" s="3" t="str">
        <v>Uranium</v>
      </c>
      <c r="J530" s="3" t="str">
        <v>Liquid</v>
      </c>
      <c r="K530" s="3" t="str">
        <v/>
      </c>
      <c r="L530" s="3" t="str">
        <v/>
      </c>
      <c r="M530" s="3">
        <v>9142.0400000000009</v>
      </c>
      <c r="N530" s="3">
        <v>1405</v>
      </c>
      <c r="O530" s="3">
        <v>1405</v>
      </c>
      <c r="P530" s="3">
        <v>4407</v>
      </c>
      <c r="Q530" s="3">
        <v>11.63</v>
      </c>
      <c r="R530" s="3">
        <v>0</v>
      </c>
      <c r="S530" s="3">
        <v>0</v>
      </c>
      <c r="T530" s="3">
        <v>0</v>
      </c>
      <c r="U530" s="3">
        <v>0</v>
      </c>
      <c r="V530" s="3">
        <v>0</v>
      </c>
      <c r="W530" s="3">
        <v>0</v>
      </c>
      <c r="X530" s="3">
        <v>0</v>
      </c>
      <c r="Y530" s="3">
        <v>0</v>
      </c>
      <c r="Z530" s="3">
        <v>0</v>
      </c>
      <c r="AA530" s="3">
        <v>0</v>
      </c>
      <c r="AB530" s="3">
        <v>0</v>
      </c>
      <c r="AC530" s="3">
        <v>0</v>
      </c>
      <c r="AD530" s="3">
        <v>0</v>
      </c>
      <c r="AE530" s="3">
        <v>0</v>
      </c>
      <c r="AF530" s="3">
        <v>0</v>
      </c>
    </row>
    <row r="531" spans="8:32" x14ac:dyDescent="0.35">
      <c r="H531" s="3" t="str">
        <v>U</v>
      </c>
      <c r="I531" s="3" t="str">
        <v>Uranium</v>
      </c>
      <c r="J531" s="3" t="str">
        <v>Gas</v>
      </c>
      <c r="K531" s="3" t="str">
        <v/>
      </c>
      <c r="L531" s="3" t="str">
        <v/>
      </c>
      <c r="M531" s="3">
        <v>464106.016</v>
      </c>
      <c r="N531" s="3">
        <v>4407</v>
      </c>
      <c r="O531" s="3">
        <v>4407</v>
      </c>
      <c r="P531" s="3">
        <v>5000</v>
      </c>
      <c r="Q531" s="3">
        <v>10.571999999999999</v>
      </c>
      <c r="R531" s="3">
        <v>0</v>
      </c>
      <c r="S531" s="3">
        <v>0</v>
      </c>
      <c r="T531" s="3">
        <v>0</v>
      </c>
      <c r="U531" s="3">
        <v>0</v>
      </c>
      <c r="V531" s="3">
        <v>0</v>
      </c>
      <c r="W531" s="3">
        <v>0</v>
      </c>
      <c r="X531" s="3">
        <v>0</v>
      </c>
      <c r="Y531" s="3">
        <v>0</v>
      </c>
      <c r="Z531" s="3">
        <v>0</v>
      </c>
      <c r="AA531" s="3">
        <v>0</v>
      </c>
      <c r="AB531" s="3">
        <v>0</v>
      </c>
      <c r="AC531" s="3">
        <v>0</v>
      </c>
      <c r="AD531" s="3">
        <v>0</v>
      </c>
      <c r="AE531" s="3">
        <v>0</v>
      </c>
      <c r="AF531" s="3">
        <v>0</v>
      </c>
    </row>
    <row r="532" spans="8:32" x14ac:dyDescent="0.35">
      <c r="H532" s="3" t="str">
        <v>Np</v>
      </c>
      <c r="I532" s="3" t="str">
        <v>Neptunium</v>
      </c>
      <c r="J532" s="3" t="str">
        <v>Alpha</v>
      </c>
      <c r="K532" s="3">
        <v>0</v>
      </c>
      <c r="L532" s="3">
        <v>58.576000000000001</v>
      </c>
      <c r="M532" s="3" t="str">
        <v/>
      </c>
      <c r="N532" s="3" t="str">
        <v/>
      </c>
      <c r="O532" s="3">
        <v>298</v>
      </c>
      <c r="P532" s="3">
        <v>550</v>
      </c>
      <c r="Q532" s="3">
        <v>5.3</v>
      </c>
      <c r="R532" s="3">
        <v>0</v>
      </c>
      <c r="S532" s="3">
        <v>3.3999999999999998E-3</v>
      </c>
      <c r="T532" s="3">
        <v>1</v>
      </c>
      <c r="U532" s="3">
        <v>0</v>
      </c>
      <c r="V532" s="3">
        <v>0</v>
      </c>
      <c r="W532" s="3">
        <v>0</v>
      </c>
      <c r="X532" s="3">
        <v>0</v>
      </c>
      <c r="Y532" s="3">
        <v>0</v>
      </c>
      <c r="Z532" s="3">
        <v>0</v>
      </c>
      <c r="AA532" s="3">
        <v>0</v>
      </c>
      <c r="AB532" s="3">
        <v>0</v>
      </c>
      <c r="AC532" s="3">
        <v>0</v>
      </c>
      <c r="AD532" s="3">
        <v>0</v>
      </c>
      <c r="AE532" s="3">
        <v>0</v>
      </c>
      <c r="AF532" s="3">
        <v>0</v>
      </c>
    </row>
    <row r="533" spans="8:32" x14ac:dyDescent="0.35">
      <c r="H533" s="3" t="str">
        <v>Pu</v>
      </c>
      <c r="I533" s="3" t="str">
        <v>Plutonium</v>
      </c>
      <c r="J533" s="3" t="str">
        <v>alpha monoclinic P21/m</v>
      </c>
      <c r="K533" s="3">
        <v>0</v>
      </c>
      <c r="L533" s="3">
        <v>54.460999999999999</v>
      </c>
      <c r="M533" s="3" t="str">
        <v/>
      </c>
      <c r="N533" s="3" t="str">
        <v/>
      </c>
      <c r="O533" s="3">
        <v>298.14999999999998</v>
      </c>
      <c r="P533" s="3">
        <v>400</v>
      </c>
      <c r="Q533" s="3">
        <v>18.125800000000002</v>
      </c>
      <c r="R533" s="3">
        <v>0</v>
      </c>
      <c r="S533" s="3">
        <v>4.4819999999999999E-2</v>
      </c>
      <c r="T533" s="3">
        <v>1</v>
      </c>
      <c r="U533" s="3">
        <v>0</v>
      </c>
      <c r="V533" s="3">
        <v>0</v>
      </c>
      <c r="W533" s="3">
        <v>0</v>
      </c>
      <c r="X533" s="3">
        <v>0</v>
      </c>
      <c r="Y533" s="3">
        <v>0</v>
      </c>
      <c r="Z533" s="3">
        <v>0</v>
      </c>
      <c r="AA533" s="3">
        <v>0</v>
      </c>
      <c r="AB533" s="3">
        <v>0</v>
      </c>
      <c r="AC533" s="3">
        <v>0</v>
      </c>
      <c r="AD533" s="3">
        <v>0</v>
      </c>
      <c r="AE533" s="3">
        <v>0</v>
      </c>
      <c r="AF533" s="3">
        <v>0</v>
      </c>
    </row>
    <row r="534" spans="8:32" x14ac:dyDescent="0.35">
      <c r="H534" s="3" t="str">
        <v>Pu</v>
      </c>
      <c r="I534" s="3" t="str">
        <v>Plutonium</v>
      </c>
      <c r="J534" s="3" t="str">
        <v>alpha monoclinic P21/m</v>
      </c>
      <c r="K534" s="3">
        <v>0</v>
      </c>
      <c r="L534" s="3">
        <v>54.460999999999999</v>
      </c>
      <c r="M534" s="3" t="str">
        <v/>
      </c>
      <c r="N534" s="3" t="str">
        <v/>
      </c>
      <c r="O534" s="3">
        <v>400</v>
      </c>
      <c r="P534" s="3">
        <v>944</v>
      </c>
      <c r="Q534" s="3">
        <v>42.418700000000001</v>
      </c>
      <c r="R534" s="3">
        <v>0</v>
      </c>
      <c r="S534" s="3">
        <v>2.6898600000000001E-3</v>
      </c>
      <c r="T534" s="3">
        <v>1</v>
      </c>
      <c r="U534" s="3">
        <v>-1.5806580000000001E-6</v>
      </c>
      <c r="V534" s="3">
        <v>2</v>
      </c>
      <c r="W534" s="3">
        <v>-1158650</v>
      </c>
      <c r="X534" s="3">
        <v>-2</v>
      </c>
      <c r="Y534" s="3">
        <v>0</v>
      </c>
      <c r="Z534" s="3">
        <v>0</v>
      </c>
      <c r="AA534" s="3">
        <v>0</v>
      </c>
      <c r="AB534" s="3">
        <v>0</v>
      </c>
      <c r="AC534" s="3">
        <v>0</v>
      </c>
      <c r="AD534" s="3">
        <v>0</v>
      </c>
      <c r="AE534" s="3">
        <v>0</v>
      </c>
      <c r="AF534" s="3">
        <v>0</v>
      </c>
    </row>
    <row r="535" spans="8:32" x14ac:dyDescent="0.35">
      <c r="H535" s="3" t="str">
        <v>Pu</v>
      </c>
      <c r="I535" s="3" t="str">
        <v>Plutonium</v>
      </c>
      <c r="J535" s="3" t="str">
        <v>alpha monoclinic P21/m</v>
      </c>
      <c r="K535" s="3">
        <v>0</v>
      </c>
      <c r="L535" s="3">
        <v>54.460999999999999</v>
      </c>
      <c r="M535" s="3" t="str">
        <v/>
      </c>
      <c r="N535" s="3" t="str">
        <v/>
      </c>
      <c r="O535" s="3">
        <v>944</v>
      </c>
      <c r="P535" s="3">
        <v>3000</v>
      </c>
      <c r="Q535" s="3">
        <v>42.247999999999998</v>
      </c>
      <c r="R535" s="3">
        <v>0</v>
      </c>
      <c r="S535" s="3">
        <v>0</v>
      </c>
      <c r="T535" s="3">
        <v>0</v>
      </c>
      <c r="U535" s="3">
        <v>0</v>
      </c>
      <c r="V535" s="3">
        <v>0</v>
      </c>
      <c r="W535" s="3">
        <v>0</v>
      </c>
      <c r="X535" s="3">
        <v>0</v>
      </c>
      <c r="Y535" s="3">
        <v>0</v>
      </c>
      <c r="Z535" s="3">
        <v>0</v>
      </c>
      <c r="AA535" s="3">
        <v>0</v>
      </c>
      <c r="AB535" s="3">
        <v>0</v>
      </c>
      <c r="AC535" s="3">
        <v>0</v>
      </c>
      <c r="AD535" s="3">
        <v>0</v>
      </c>
      <c r="AE535" s="3">
        <v>0</v>
      </c>
      <c r="AF535" s="3">
        <v>0</v>
      </c>
    </row>
    <row r="536" spans="8:32" x14ac:dyDescent="0.35">
      <c r="H536" s="3" t="str">
        <v>Pu</v>
      </c>
      <c r="I536" s="3" t="str">
        <v>Plutonium</v>
      </c>
      <c r="J536" s="3" t="str">
        <v>beta body-centered monoclinic I2/m</v>
      </c>
      <c r="K536" s="3">
        <v>3880.9004</v>
      </c>
      <c r="L536" s="3">
        <v>64.265999999999906</v>
      </c>
      <c r="M536" s="3" t="str">
        <v/>
      </c>
      <c r="N536" s="3" t="str">
        <v/>
      </c>
      <c r="O536" s="3">
        <v>298.14999999999998</v>
      </c>
      <c r="P536" s="3">
        <v>679.5</v>
      </c>
      <c r="Q536" s="3">
        <v>27.416</v>
      </c>
      <c r="R536" s="3">
        <v>0</v>
      </c>
      <c r="S536" s="3">
        <v>1.306E-2</v>
      </c>
      <c r="T536" s="3">
        <v>1</v>
      </c>
      <c r="U536" s="3">
        <v>0</v>
      </c>
      <c r="V536" s="3">
        <v>0</v>
      </c>
      <c r="W536" s="3">
        <v>0</v>
      </c>
      <c r="X536" s="3">
        <v>0</v>
      </c>
      <c r="Y536" s="3">
        <v>0</v>
      </c>
      <c r="Z536" s="3">
        <v>0</v>
      </c>
      <c r="AA536" s="3">
        <v>0</v>
      </c>
      <c r="AB536" s="3">
        <v>0</v>
      </c>
      <c r="AC536" s="3">
        <v>0</v>
      </c>
      <c r="AD536" s="3">
        <v>0</v>
      </c>
      <c r="AE536" s="3">
        <v>0</v>
      </c>
      <c r="AF536" s="3">
        <v>0</v>
      </c>
    </row>
    <row r="537" spans="8:32" x14ac:dyDescent="0.35">
      <c r="H537" s="3" t="str">
        <v>Pu</v>
      </c>
      <c r="I537" s="3" t="str">
        <v>Plutonium</v>
      </c>
      <c r="J537" s="3" t="str">
        <v>beta body-centered monoclinic I2/m</v>
      </c>
      <c r="K537" s="3">
        <v>3880.9004</v>
      </c>
      <c r="L537" s="3">
        <v>64.265999999999906</v>
      </c>
      <c r="M537" s="3" t="str">
        <v/>
      </c>
      <c r="N537" s="3" t="str">
        <v/>
      </c>
      <c r="O537" s="3">
        <v>679.5</v>
      </c>
      <c r="P537" s="3">
        <v>1464</v>
      </c>
      <c r="Q537" s="3">
        <v>15.735099999999999</v>
      </c>
      <c r="R537" s="3">
        <v>0</v>
      </c>
      <c r="S537" s="3">
        <v>3.09544E-2</v>
      </c>
      <c r="T537" s="3">
        <v>1</v>
      </c>
      <c r="U537" s="3">
        <v>-9.1496520000000002E-6</v>
      </c>
      <c r="V537" s="3">
        <v>2</v>
      </c>
      <c r="W537" s="3">
        <v>1729880</v>
      </c>
      <c r="X537" s="3">
        <v>-2</v>
      </c>
      <c r="Y537" s="3">
        <v>0</v>
      </c>
      <c r="Z537" s="3">
        <v>0</v>
      </c>
      <c r="AA537" s="3">
        <v>0</v>
      </c>
      <c r="AB537" s="3">
        <v>0</v>
      </c>
      <c r="AC537" s="3">
        <v>0</v>
      </c>
      <c r="AD537" s="3">
        <v>0</v>
      </c>
      <c r="AE537" s="3">
        <v>0</v>
      </c>
      <c r="AF537" s="3">
        <v>0</v>
      </c>
    </row>
    <row r="538" spans="8:32" x14ac:dyDescent="0.35">
      <c r="H538" s="3" t="str">
        <v>Pu</v>
      </c>
      <c r="I538" s="3" t="str">
        <v>Plutonium</v>
      </c>
      <c r="J538" s="3" t="str">
        <v>beta body-centered monoclinic I2/m</v>
      </c>
      <c r="K538" s="3">
        <v>3880.9004</v>
      </c>
      <c r="L538" s="3">
        <v>64.265999999999906</v>
      </c>
      <c r="M538" s="3" t="str">
        <v/>
      </c>
      <c r="N538" s="3" t="str">
        <v/>
      </c>
      <c r="O538" s="3">
        <v>1464</v>
      </c>
      <c r="P538" s="3">
        <v>3000</v>
      </c>
      <c r="Q538" s="3">
        <v>42.247999999999998</v>
      </c>
      <c r="R538" s="3">
        <v>0</v>
      </c>
      <c r="S538" s="3">
        <v>0</v>
      </c>
      <c r="T538" s="3">
        <v>0</v>
      </c>
      <c r="U538" s="3">
        <v>0</v>
      </c>
      <c r="V538" s="3">
        <v>0</v>
      </c>
      <c r="W538" s="3">
        <v>0</v>
      </c>
      <c r="X538" s="3">
        <v>0</v>
      </c>
      <c r="Y538" s="3">
        <v>0</v>
      </c>
      <c r="Z538" s="3">
        <v>0</v>
      </c>
      <c r="AA538" s="3">
        <v>0</v>
      </c>
      <c r="AB538" s="3">
        <v>0</v>
      </c>
      <c r="AC538" s="3">
        <v>0</v>
      </c>
      <c r="AD538" s="3">
        <v>0</v>
      </c>
      <c r="AE538" s="3">
        <v>0</v>
      </c>
      <c r="AF538" s="3">
        <v>0</v>
      </c>
    </row>
    <row r="539" spans="8:32" x14ac:dyDescent="0.35">
      <c r="H539" s="3" t="str">
        <v>Pu</v>
      </c>
      <c r="I539" s="3" t="str">
        <v>Plutonium</v>
      </c>
      <c r="J539" s="3" t="str">
        <v>gamma face-centered orthorhombic Fddd</v>
      </c>
      <c r="K539" s="3">
        <v>4452.4902999999904</v>
      </c>
      <c r="L539" s="3">
        <v>65.476600000000104</v>
      </c>
      <c r="M539" s="3" t="str">
        <v/>
      </c>
      <c r="N539" s="3" t="str">
        <v/>
      </c>
      <c r="O539" s="3">
        <v>298.14999999999998</v>
      </c>
      <c r="P539" s="3">
        <v>487.9</v>
      </c>
      <c r="Q539" s="3">
        <v>77.580200000000005</v>
      </c>
      <c r="R539" s="3">
        <v>0</v>
      </c>
      <c r="S539" s="3">
        <v>-0.16328300000000001</v>
      </c>
      <c r="T539" s="3">
        <v>1</v>
      </c>
      <c r="U539" s="3">
        <v>1.6862299999999999E-4</v>
      </c>
      <c r="V539" s="3">
        <v>2</v>
      </c>
      <c r="W539" s="3">
        <v>-1149650</v>
      </c>
      <c r="X539" s="3">
        <v>-2</v>
      </c>
      <c r="Y539" s="3">
        <v>0</v>
      </c>
      <c r="Z539" s="3">
        <v>0</v>
      </c>
      <c r="AA539" s="3">
        <v>0</v>
      </c>
      <c r="AB539" s="3">
        <v>0</v>
      </c>
      <c r="AC539" s="3">
        <v>0</v>
      </c>
      <c r="AD539" s="3">
        <v>0</v>
      </c>
      <c r="AE539" s="3">
        <v>0</v>
      </c>
      <c r="AF539" s="3">
        <v>0</v>
      </c>
    </row>
    <row r="540" spans="8:32" x14ac:dyDescent="0.35">
      <c r="H540" s="3" t="str">
        <v>Pu</v>
      </c>
      <c r="I540" s="3" t="str">
        <v>Plutonium</v>
      </c>
      <c r="J540" s="3" t="str">
        <v>gamma face-centered orthorhombic Fddd</v>
      </c>
      <c r="K540" s="3">
        <v>4452.4902999999904</v>
      </c>
      <c r="L540" s="3">
        <v>65.476600000000104</v>
      </c>
      <c r="M540" s="3" t="str">
        <v/>
      </c>
      <c r="N540" s="3" t="str">
        <v/>
      </c>
      <c r="O540" s="3">
        <v>487.9</v>
      </c>
      <c r="P540" s="3">
        <v>593.9</v>
      </c>
      <c r="Q540" s="3">
        <v>22.023299999999995</v>
      </c>
      <c r="R540" s="3">
        <v>0</v>
      </c>
      <c r="S540" s="3">
        <v>2.2959E-2</v>
      </c>
      <c r="T540" s="3">
        <v>1</v>
      </c>
      <c r="U540" s="3">
        <v>0</v>
      </c>
      <c r="V540" s="3">
        <v>0</v>
      </c>
      <c r="W540" s="3">
        <v>0</v>
      </c>
      <c r="X540" s="3">
        <v>0</v>
      </c>
      <c r="Y540" s="3">
        <v>0</v>
      </c>
      <c r="Z540" s="3">
        <v>0</v>
      </c>
      <c r="AA540" s="3">
        <v>0</v>
      </c>
      <c r="AB540" s="3">
        <v>0</v>
      </c>
      <c r="AC540" s="3">
        <v>0</v>
      </c>
      <c r="AD540" s="3">
        <v>0</v>
      </c>
      <c r="AE540" s="3">
        <v>0</v>
      </c>
      <c r="AF540" s="3">
        <v>0</v>
      </c>
    </row>
    <row r="541" spans="8:32" x14ac:dyDescent="0.35">
      <c r="H541" s="3" t="str">
        <v>Pu</v>
      </c>
      <c r="I541" s="3" t="str">
        <v>Plutonium</v>
      </c>
      <c r="J541" s="3" t="str">
        <v>gamma face-centered orthorhombic Fddd</v>
      </c>
      <c r="K541" s="3">
        <v>4452.4902999999904</v>
      </c>
      <c r="L541" s="3">
        <v>65.476600000000104</v>
      </c>
      <c r="M541" s="3" t="str">
        <v/>
      </c>
      <c r="N541" s="3" t="str">
        <v/>
      </c>
      <c r="O541" s="3">
        <v>593.9</v>
      </c>
      <c r="P541" s="3">
        <v>1179</v>
      </c>
      <c r="Q541" s="3">
        <v>32.340499999999999</v>
      </c>
      <c r="R541" s="3">
        <v>0</v>
      </c>
      <c r="S541" s="3">
        <v>1.40766E-2</v>
      </c>
      <c r="T541" s="3">
        <v>1</v>
      </c>
      <c r="U541" s="3">
        <v>-4.1573219999999976E-6</v>
      </c>
      <c r="V541" s="3">
        <v>2</v>
      </c>
      <c r="W541" s="3">
        <v>-1261200</v>
      </c>
      <c r="X541" s="3">
        <v>-2</v>
      </c>
      <c r="Y541" s="3">
        <v>0</v>
      </c>
      <c r="Z541" s="3">
        <v>0</v>
      </c>
      <c r="AA541" s="3">
        <v>0</v>
      </c>
      <c r="AB541" s="3">
        <v>0</v>
      </c>
      <c r="AC541" s="3">
        <v>0</v>
      </c>
      <c r="AD541" s="3">
        <v>0</v>
      </c>
      <c r="AE541" s="3">
        <v>0</v>
      </c>
      <c r="AF541" s="3">
        <v>0</v>
      </c>
    </row>
    <row r="542" spans="8:32" x14ac:dyDescent="0.35">
      <c r="H542" s="3" t="str">
        <v>Pu</v>
      </c>
      <c r="I542" s="3" t="str">
        <v>Plutonium</v>
      </c>
      <c r="J542" s="3" t="str">
        <v>gamma face-centered orthorhombic Fddd</v>
      </c>
      <c r="K542" s="3">
        <v>4452.4902999999904</v>
      </c>
      <c r="L542" s="3">
        <v>65.476600000000104</v>
      </c>
      <c r="M542" s="3" t="str">
        <v/>
      </c>
      <c r="N542" s="3" t="str">
        <v/>
      </c>
      <c r="O542" s="3">
        <v>1179</v>
      </c>
      <c r="P542" s="3">
        <v>3000</v>
      </c>
      <c r="Q542" s="3">
        <v>42.247999999999998</v>
      </c>
      <c r="R542" s="3">
        <v>0</v>
      </c>
      <c r="S542" s="3">
        <v>0</v>
      </c>
      <c r="T542" s="3">
        <v>0</v>
      </c>
      <c r="U542" s="3">
        <v>0</v>
      </c>
      <c r="V542" s="3">
        <v>0</v>
      </c>
      <c r="W542" s="3">
        <v>0</v>
      </c>
      <c r="X542" s="3">
        <v>0</v>
      </c>
      <c r="Y542" s="3">
        <v>0</v>
      </c>
      <c r="Z542" s="3">
        <v>0</v>
      </c>
      <c r="AA542" s="3">
        <v>0</v>
      </c>
      <c r="AB542" s="3">
        <v>0</v>
      </c>
      <c r="AC542" s="3">
        <v>0</v>
      </c>
      <c r="AD542" s="3">
        <v>0</v>
      </c>
      <c r="AE542" s="3">
        <v>0</v>
      </c>
      <c r="AF542" s="3">
        <v>0</v>
      </c>
    </row>
    <row r="543" spans="8:32" x14ac:dyDescent="0.35">
      <c r="H543" s="3" t="str">
        <v>Pu</v>
      </c>
      <c r="I543" s="3" t="str">
        <v>Plutonium</v>
      </c>
      <c r="J543" s="3" t="str">
        <v>FCC_A1 Fm3m delta</v>
      </c>
      <c r="K543" s="3">
        <v>5050.3000999999804</v>
      </c>
      <c r="L543" s="3">
        <v>66.370399999999862</v>
      </c>
      <c r="M543" s="3" t="str">
        <v/>
      </c>
      <c r="N543" s="3" t="str">
        <v/>
      </c>
      <c r="O543" s="3">
        <v>298.14999999999998</v>
      </c>
      <c r="P543" s="3">
        <v>990</v>
      </c>
      <c r="Q543" s="3">
        <v>28.478100000000001</v>
      </c>
      <c r="R543" s="3">
        <v>0</v>
      </c>
      <c r="S543" s="3">
        <v>1.0807000000000001E-2</v>
      </c>
      <c r="T543" s="3">
        <v>1</v>
      </c>
      <c r="U543" s="3">
        <v>0</v>
      </c>
      <c r="V543" s="3">
        <v>0</v>
      </c>
      <c r="W543" s="3">
        <v>0</v>
      </c>
      <c r="X543" s="3">
        <v>0</v>
      </c>
      <c r="Y543" s="3">
        <v>0</v>
      </c>
      <c r="Z543" s="3">
        <v>0</v>
      </c>
      <c r="AA543" s="3">
        <v>0</v>
      </c>
      <c r="AB543" s="3">
        <v>0</v>
      </c>
      <c r="AC543" s="3">
        <v>0</v>
      </c>
      <c r="AD543" s="3">
        <v>0</v>
      </c>
      <c r="AE543" s="3">
        <v>0</v>
      </c>
      <c r="AF543" s="3">
        <v>0</v>
      </c>
    </row>
    <row r="544" spans="8:32" x14ac:dyDescent="0.35">
      <c r="H544" s="3" t="str">
        <v>Pu</v>
      </c>
      <c r="I544" s="3" t="str">
        <v>Plutonium</v>
      </c>
      <c r="J544" s="3" t="str">
        <v>FCC_A1 Fm3m delta</v>
      </c>
      <c r="K544" s="3">
        <v>5050.3000999999804</v>
      </c>
      <c r="L544" s="3">
        <v>66.370399999999862</v>
      </c>
      <c r="M544" s="3" t="str">
        <v/>
      </c>
      <c r="N544" s="3" t="str">
        <v/>
      </c>
      <c r="O544" s="3">
        <v>990</v>
      </c>
      <c r="P544" s="3">
        <v>1464</v>
      </c>
      <c r="Q544" s="3">
        <v>15.735099999999999</v>
      </c>
      <c r="R544" s="3">
        <v>0</v>
      </c>
      <c r="S544" s="3">
        <v>3.09544E-2</v>
      </c>
      <c r="T544" s="3">
        <v>1</v>
      </c>
      <c r="U544" s="3">
        <v>-9.1496520000000002E-6</v>
      </c>
      <c r="V544" s="3">
        <v>2</v>
      </c>
      <c r="W544" s="3">
        <v>1729880</v>
      </c>
      <c r="X544" s="3">
        <v>-2</v>
      </c>
      <c r="Y544" s="3">
        <v>0</v>
      </c>
      <c r="Z544" s="3">
        <v>0</v>
      </c>
      <c r="AA544" s="3">
        <v>0</v>
      </c>
      <c r="AB544" s="3">
        <v>0</v>
      </c>
      <c r="AC544" s="3">
        <v>0</v>
      </c>
      <c r="AD544" s="3">
        <v>0</v>
      </c>
      <c r="AE544" s="3">
        <v>0</v>
      </c>
      <c r="AF544" s="3">
        <v>0</v>
      </c>
    </row>
    <row r="545" spans="8:32" x14ac:dyDescent="0.35">
      <c r="H545" s="3" t="str">
        <v>Pu</v>
      </c>
      <c r="I545" s="3" t="str">
        <v>Plutonium</v>
      </c>
      <c r="J545" s="3" t="str">
        <v>FCC_A1 Fm3m delta</v>
      </c>
      <c r="K545" s="3">
        <v>5050.3000999999804</v>
      </c>
      <c r="L545" s="3">
        <v>66.370399999999862</v>
      </c>
      <c r="M545" s="3" t="str">
        <v/>
      </c>
      <c r="N545" s="3" t="str">
        <v/>
      </c>
      <c r="O545" s="3">
        <v>1464</v>
      </c>
      <c r="P545" s="3">
        <v>3000</v>
      </c>
      <c r="Q545" s="3">
        <v>42.247999999999998</v>
      </c>
      <c r="R545" s="3">
        <v>0</v>
      </c>
      <c r="S545" s="3">
        <v>0</v>
      </c>
      <c r="T545" s="3">
        <v>0</v>
      </c>
      <c r="U545" s="3">
        <v>0</v>
      </c>
      <c r="V545" s="3">
        <v>0</v>
      </c>
      <c r="W545" s="3">
        <v>0</v>
      </c>
      <c r="X545" s="3">
        <v>0</v>
      </c>
      <c r="Y545" s="3">
        <v>0</v>
      </c>
      <c r="Z545" s="3">
        <v>0</v>
      </c>
      <c r="AA545" s="3">
        <v>0</v>
      </c>
      <c r="AB545" s="3">
        <v>0</v>
      </c>
      <c r="AC545" s="3">
        <v>0</v>
      </c>
      <c r="AD545" s="3">
        <v>0</v>
      </c>
      <c r="AE545" s="3">
        <v>0</v>
      </c>
      <c r="AF545" s="3">
        <v>0</v>
      </c>
    </row>
    <row r="546" spans="8:32" x14ac:dyDescent="0.35">
      <c r="H546" s="3" t="str">
        <v>Pu</v>
      </c>
      <c r="I546" s="3" t="str">
        <v>Plutonium</v>
      </c>
      <c r="J546" s="3" t="str">
        <v>tetragonal_a6 bct delta prime I4/mmm</v>
      </c>
      <c r="K546" s="3">
        <v>5199.5098000000198</v>
      </c>
      <c r="L546" s="3">
        <v>66.609200000000001</v>
      </c>
      <c r="M546" s="3" t="str">
        <v/>
      </c>
      <c r="N546" s="3" t="str">
        <v/>
      </c>
      <c r="O546" s="3">
        <v>298.14999999999998</v>
      </c>
      <c r="P546" s="3">
        <v>736</v>
      </c>
      <c r="Q546" s="3">
        <v>16.43</v>
      </c>
      <c r="R546" s="3">
        <v>0</v>
      </c>
      <c r="S546" s="3">
        <v>4.8011999999999999E-2</v>
      </c>
      <c r="T546" s="3">
        <v>1</v>
      </c>
      <c r="U546" s="3">
        <v>-3.1000002E-5</v>
      </c>
      <c r="V546" s="3">
        <v>2</v>
      </c>
      <c r="W546" s="3">
        <v>316940</v>
      </c>
      <c r="X546" s="3">
        <v>-2</v>
      </c>
      <c r="Y546" s="3">
        <v>0</v>
      </c>
      <c r="Z546" s="3">
        <v>0</v>
      </c>
      <c r="AA546" s="3">
        <v>0</v>
      </c>
      <c r="AB546" s="3">
        <v>0</v>
      </c>
      <c r="AC546" s="3">
        <v>0</v>
      </c>
      <c r="AD546" s="3">
        <v>0</v>
      </c>
      <c r="AE546" s="3">
        <v>0</v>
      </c>
      <c r="AF546" s="3">
        <v>0</v>
      </c>
    </row>
    <row r="547" spans="8:32" x14ac:dyDescent="0.35">
      <c r="H547" s="3" t="str">
        <v>Pu</v>
      </c>
      <c r="I547" s="3" t="str">
        <v>Plutonium</v>
      </c>
      <c r="J547" s="3" t="str">
        <v>tetragonal_a6 bct delta prime I4/mmm</v>
      </c>
      <c r="K547" s="3">
        <v>5199.5098000000198</v>
      </c>
      <c r="L547" s="3">
        <v>66.609200000000001</v>
      </c>
      <c r="M547" s="3" t="str">
        <v/>
      </c>
      <c r="N547" s="3" t="str">
        <v/>
      </c>
      <c r="O547" s="3">
        <v>736</v>
      </c>
      <c r="P547" s="3">
        <v>757</v>
      </c>
      <c r="Q547" s="3">
        <v>35.56</v>
      </c>
      <c r="R547" s="3">
        <v>0</v>
      </c>
      <c r="S547" s="3">
        <v>0</v>
      </c>
      <c r="T547" s="3">
        <v>0</v>
      </c>
      <c r="U547" s="3">
        <v>0</v>
      </c>
      <c r="V547" s="3">
        <v>0</v>
      </c>
      <c r="W547" s="3">
        <v>0</v>
      </c>
      <c r="X547" s="3">
        <v>0</v>
      </c>
      <c r="Y547" s="3">
        <v>0</v>
      </c>
      <c r="Z547" s="3">
        <v>0</v>
      </c>
      <c r="AA547" s="3">
        <v>0</v>
      </c>
      <c r="AB547" s="3">
        <v>0</v>
      </c>
      <c r="AC547" s="3">
        <v>0</v>
      </c>
      <c r="AD547" s="3">
        <v>0</v>
      </c>
      <c r="AE547" s="3">
        <v>0</v>
      </c>
      <c r="AF547" s="3">
        <v>0</v>
      </c>
    </row>
    <row r="548" spans="8:32" x14ac:dyDescent="0.35">
      <c r="H548" s="3" t="str">
        <v>Pu</v>
      </c>
      <c r="I548" s="3" t="str">
        <v>Plutonium</v>
      </c>
      <c r="J548" s="3" t="str">
        <v>tetragonal_a6 bct delta prime I4/mmm</v>
      </c>
      <c r="K548" s="3">
        <v>5199.5098000000198</v>
      </c>
      <c r="L548" s="3">
        <v>66.609200000000001</v>
      </c>
      <c r="M548" s="3" t="str">
        <v/>
      </c>
      <c r="N548" s="3" t="str">
        <v/>
      </c>
      <c r="O548" s="3">
        <v>757</v>
      </c>
      <c r="P548" s="3">
        <v>2157</v>
      </c>
      <c r="Q548" s="3">
        <v>19.756</v>
      </c>
      <c r="R548" s="3">
        <v>0</v>
      </c>
      <c r="S548" s="3">
        <v>1.8745899999999999E-2</v>
      </c>
      <c r="T548" s="3">
        <v>1</v>
      </c>
      <c r="U548" s="3">
        <v>-3.9592920000000001E-6</v>
      </c>
      <c r="V548" s="3">
        <v>2</v>
      </c>
      <c r="W548" s="3">
        <v>2225130</v>
      </c>
      <c r="X548" s="3">
        <v>-2</v>
      </c>
      <c r="Y548" s="3">
        <v>0</v>
      </c>
      <c r="Z548" s="3">
        <v>0</v>
      </c>
      <c r="AA548" s="3">
        <v>0</v>
      </c>
      <c r="AB548" s="3">
        <v>0</v>
      </c>
      <c r="AC548" s="3">
        <v>0</v>
      </c>
      <c r="AD548" s="3">
        <v>0</v>
      </c>
      <c r="AE548" s="3">
        <v>0</v>
      </c>
      <c r="AF548" s="3">
        <v>0</v>
      </c>
    </row>
    <row r="549" spans="8:32" x14ac:dyDescent="0.35">
      <c r="H549" s="3" t="str">
        <v>Pu</v>
      </c>
      <c r="I549" s="3" t="str">
        <v>Plutonium</v>
      </c>
      <c r="J549" s="3" t="str">
        <v>tetragonal_a6 bct delta prime I4/mmm</v>
      </c>
      <c r="K549" s="3">
        <v>5199.5098000000198</v>
      </c>
      <c r="L549" s="3">
        <v>66.609200000000001</v>
      </c>
      <c r="M549" s="3" t="str">
        <v/>
      </c>
      <c r="N549" s="3" t="str">
        <v/>
      </c>
      <c r="O549" s="3">
        <v>2157</v>
      </c>
      <c r="P549" s="3">
        <v>3000</v>
      </c>
      <c r="Q549" s="3">
        <v>42.247999999999998</v>
      </c>
      <c r="R549" s="3">
        <v>0</v>
      </c>
      <c r="S549" s="3">
        <v>0</v>
      </c>
      <c r="T549" s="3">
        <v>0</v>
      </c>
      <c r="U549" s="3">
        <v>0</v>
      </c>
      <c r="V549" s="3">
        <v>0</v>
      </c>
      <c r="W549" s="3">
        <v>0</v>
      </c>
      <c r="X549" s="3">
        <v>0</v>
      </c>
      <c r="Y549" s="3">
        <v>0</v>
      </c>
      <c r="Z549" s="3">
        <v>0</v>
      </c>
      <c r="AA549" s="3">
        <v>0</v>
      </c>
      <c r="AB549" s="3">
        <v>0</v>
      </c>
      <c r="AC549" s="3">
        <v>0</v>
      </c>
      <c r="AD549" s="3">
        <v>0</v>
      </c>
      <c r="AE549" s="3">
        <v>0</v>
      </c>
      <c r="AF549" s="3">
        <v>0</v>
      </c>
    </row>
    <row r="550" spans="8:32" x14ac:dyDescent="0.35">
      <c r="H550" s="3" t="str">
        <v>Pu</v>
      </c>
      <c r="I550" s="3" t="str">
        <v>Plutonium</v>
      </c>
      <c r="J550" s="3" t="str">
        <v>BCC_A2 Im3m epsilon</v>
      </c>
      <c r="K550" s="3">
        <v>7559.1332999999822</v>
      </c>
      <c r="L550" s="3">
        <v>69.975006000000064</v>
      </c>
      <c r="M550" s="3" t="str">
        <v/>
      </c>
      <c r="N550" s="3" t="str">
        <v/>
      </c>
      <c r="O550" s="3">
        <v>298.14999999999998</v>
      </c>
      <c r="P550" s="3">
        <v>745</v>
      </c>
      <c r="Q550" s="3">
        <v>27.094000000000001</v>
      </c>
      <c r="R550" s="3">
        <v>0</v>
      </c>
      <c r="S550" s="3">
        <v>1.821E-2</v>
      </c>
      <c r="T550" s="3">
        <v>1</v>
      </c>
      <c r="U550" s="3">
        <v>-1.2370002000000001E-5</v>
      </c>
      <c r="V550" s="3">
        <v>2</v>
      </c>
      <c r="W550" s="3">
        <v>-41726</v>
      </c>
      <c r="X550" s="3">
        <v>-2</v>
      </c>
      <c r="Y550" s="3">
        <v>0</v>
      </c>
      <c r="Z550" s="3">
        <v>0</v>
      </c>
      <c r="AA550" s="3">
        <v>0</v>
      </c>
      <c r="AB550" s="3">
        <v>0</v>
      </c>
      <c r="AC550" s="3">
        <v>0</v>
      </c>
      <c r="AD550" s="3">
        <v>0</v>
      </c>
      <c r="AE550" s="3">
        <v>0</v>
      </c>
      <c r="AF550" s="3">
        <v>0</v>
      </c>
    </row>
    <row r="551" spans="8:32" x14ac:dyDescent="0.35">
      <c r="H551" s="3" t="str">
        <v>Pu</v>
      </c>
      <c r="I551" s="3" t="str">
        <v>Plutonium</v>
      </c>
      <c r="J551" s="3" t="str">
        <v>BCC_A2 Im3m epsilon</v>
      </c>
      <c r="K551" s="3">
        <v>7559.1332999999822</v>
      </c>
      <c r="L551" s="3">
        <v>69.975006000000064</v>
      </c>
      <c r="M551" s="3" t="str">
        <v/>
      </c>
      <c r="N551" s="3" t="str">
        <v/>
      </c>
      <c r="O551" s="3">
        <v>745</v>
      </c>
      <c r="P551" s="3">
        <v>956</v>
      </c>
      <c r="Q551" s="3">
        <v>33.72</v>
      </c>
      <c r="R551" s="3">
        <v>0</v>
      </c>
      <c r="S551" s="3">
        <v>0</v>
      </c>
      <c r="T551" s="3">
        <v>0</v>
      </c>
      <c r="U551" s="3">
        <v>0</v>
      </c>
      <c r="V551" s="3">
        <v>0</v>
      </c>
      <c r="W551" s="3">
        <v>0</v>
      </c>
      <c r="X551" s="3">
        <v>0</v>
      </c>
      <c r="Y551" s="3">
        <v>0</v>
      </c>
      <c r="Z551" s="3">
        <v>0</v>
      </c>
      <c r="AA551" s="3">
        <v>0</v>
      </c>
      <c r="AB551" s="3">
        <v>0</v>
      </c>
      <c r="AC551" s="3">
        <v>0</v>
      </c>
      <c r="AD551" s="3">
        <v>0</v>
      </c>
      <c r="AE551" s="3">
        <v>0</v>
      </c>
      <c r="AF551" s="3">
        <v>0</v>
      </c>
    </row>
    <row r="552" spans="8:32" x14ac:dyDescent="0.35">
      <c r="H552" s="3" t="str">
        <v>Pu</v>
      </c>
      <c r="I552" s="3" t="str">
        <v>Plutonium</v>
      </c>
      <c r="J552" s="3" t="str">
        <v>BCC_A2 Im3m epsilon</v>
      </c>
      <c r="K552" s="3">
        <v>7559.1332999999822</v>
      </c>
      <c r="L552" s="3">
        <v>69.975006000000064</v>
      </c>
      <c r="M552" s="3" t="str">
        <v/>
      </c>
      <c r="N552" s="3" t="str">
        <v/>
      </c>
      <c r="O552" s="3">
        <v>956</v>
      </c>
      <c r="P552" s="3">
        <v>2071</v>
      </c>
      <c r="Q552" s="3">
        <v>-6.9210000000000003</v>
      </c>
      <c r="R552" s="3">
        <v>0</v>
      </c>
      <c r="S552" s="3">
        <v>4.0466099999999998E-2</v>
      </c>
      <c r="T552" s="3">
        <v>1</v>
      </c>
      <c r="U552" s="3">
        <v>-8.5615320000000001E-6</v>
      </c>
      <c r="V552" s="3">
        <v>2</v>
      </c>
      <c r="W552" s="3">
        <v>8938490</v>
      </c>
      <c r="X552" s="3">
        <v>-2</v>
      </c>
      <c r="Y552" s="3">
        <v>0</v>
      </c>
      <c r="Z552" s="3">
        <v>0</v>
      </c>
      <c r="AA552" s="3">
        <v>0</v>
      </c>
      <c r="AB552" s="3">
        <v>0</v>
      </c>
      <c r="AC552" s="3">
        <v>0</v>
      </c>
      <c r="AD552" s="3">
        <v>0</v>
      </c>
      <c r="AE552" s="3">
        <v>0</v>
      </c>
      <c r="AF552" s="3">
        <v>0</v>
      </c>
    </row>
    <row r="553" spans="8:32" x14ac:dyDescent="0.35">
      <c r="H553" s="3" t="str">
        <v>Pu</v>
      </c>
      <c r="I553" s="3" t="str">
        <v>Plutonium</v>
      </c>
      <c r="J553" s="3" t="str">
        <v>BCC_A2 Im3m epsilon</v>
      </c>
      <c r="K553" s="3">
        <v>7559.1332999999822</v>
      </c>
      <c r="L553" s="3">
        <v>69.975006000000064</v>
      </c>
      <c r="M553" s="3" t="str">
        <v/>
      </c>
      <c r="N553" s="3" t="str">
        <v/>
      </c>
      <c r="O553" s="3">
        <v>2071</v>
      </c>
      <c r="P553" s="3">
        <v>3000</v>
      </c>
      <c r="Q553" s="3">
        <v>42.247999999999998</v>
      </c>
      <c r="R553" s="3">
        <v>0</v>
      </c>
      <c r="S553" s="3">
        <v>0</v>
      </c>
      <c r="T553" s="3">
        <v>0</v>
      </c>
      <c r="U553" s="3">
        <v>0</v>
      </c>
      <c r="V553" s="3">
        <v>0</v>
      </c>
      <c r="W553" s="3">
        <v>0</v>
      </c>
      <c r="X553" s="3">
        <v>0</v>
      </c>
      <c r="Y553" s="3">
        <v>0</v>
      </c>
      <c r="Z553" s="3">
        <v>0</v>
      </c>
      <c r="AA553" s="3">
        <v>0</v>
      </c>
      <c r="AB553" s="3">
        <v>0</v>
      </c>
      <c r="AC553" s="3">
        <v>0</v>
      </c>
      <c r="AD553" s="3">
        <v>0</v>
      </c>
      <c r="AE553" s="3">
        <v>0</v>
      </c>
      <c r="AF553" s="3">
        <v>0</v>
      </c>
    </row>
    <row r="554" spans="8:32" x14ac:dyDescent="0.35">
      <c r="H554" s="3" t="str">
        <v>Pu</v>
      </c>
      <c r="I554" s="3" t="str">
        <v>Plutonium</v>
      </c>
      <c r="J554" s="3" t="str">
        <v>Liquid</v>
      </c>
      <c r="K554" s="3">
        <v>6608.0999000000002</v>
      </c>
      <c r="L554" s="3">
        <v>66.974299999999999</v>
      </c>
      <c r="M554" s="3" t="str">
        <v/>
      </c>
      <c r="N554" s="3" t="str">
        <v/>
      </c>
      <c r="O554" s="3">
        <v>298.14999999999998</v>
      </c>
      <c r="P554" s="3">
        <v>400</v>
      </c>
      <c r="Q554" s="3">
        <v>18.125800000000002</v>
      </c>
      <c r="R554" s="3">
        <v>0</v>
      </c>
      <c r="S554" s="3">
        <v>4.4819999999999999E-2</v>
      </c>
      <c r="T554" s="3">
        <v>1</v>
      </c>
      <c r="U554" s="3">
        <v>0</v>
      </c>
      <c r="V554" s="3">
        <v>0</v>
      </c>
      <c r="W554" s="3">
        <v>0</v>
      </c>
      <c r="X554" s="3">
        <v>0</v>
      </c>
      <c r="Y554" s="3">
        <v>0</v>
      </c>
      <c r="Z554" s="3">
        <v>0</v>
      </c>
      <c r="AA554" s="3">
        <v>0</v>
      </c>
      <c r="AB554" s="3">
        <v>0</v>
      </c>
      <c r="AC554" s="3">
        <v>0</v>
      </c>
      <c r="AD554" s="3">
        <v>0</v>
      </c>
      <c r="AE554" s="3">
        <v>0</v>
      </c>
      <c r="AF554" s="3">
        <v>0</v>
      </c>
    </row>
    <row r="555" spans="8:32" x14ac:dyDescent="0.35">
      <c r="H555" s="3" t="str">
        <v>Pu</v>
      </c>
      <c r="I555" s="3" t="str">
        <v>Plutonium</v>
      </c>
      <c r="J555" s="3" t="str">
        <v>Liquid</v>
      </c>
      <c r="K555" s="3">
        <v>6608.0999000000002</v>
      </c>
      <c r="L555" s="3">
        <v>66.974299999999999</v>
      </c>
      <c r="M555" s="3" t="str">
        <v/>
      </c>
      <c r="N555" s="3" t="str">
        <v/>
      </c>
      <c r="O555" s="3">
        <v>400</v>
      </c>
      <c r="P555" s="3">
        <v>944</v>
      </c>
      <c r="Q555" s="3">
        <v>42.418700000000001</v>
      </c>
      <c r="R555" s="3">
        <v>0</v>
      </c>
      <c r="S555" s="3">
        <v>2.6898600000000001E-3</v>
      </c>
      <c r="T555" s="3">
        <v>1</v>
      </c>
      <c r="U555" s="3">
        <v>-1.5806580000000001E-6</v>
      </c>
      <c r="V555" s="3">
        <v>2</v>
      </c>
      <c r="W555" s="3">
        <v>-1158650</v>
      </c>
      <c r="X555" s="3">
        <v>-2</v>
      </c>
      <c r="Y555" s="3">
        <v>0</v>
      </c>
      <c r="Z555" s="3">
        <v>0</v>
      </c>
      <c r="AA555" s="3">
        <v>0</v>
      </c>
      <c r="AB555" s="3">
        <v>0</v>
      </c>
      <c r="AC555" s="3">
        <v>0</v>
      </c>
      <c r="AD555" s="3">
        <v>0</v>
      </c>
      <c r="AE555" s="3">
        <v>0</v>
      </c>
      <c r="AF555" s="3">
        <v>0</v>
      </c>
    </row>
    <row r="556" spans="8:32" x14ac:dyDescent="0.35">
      <c r="H556" s="3" t="str">
        <v>Pu</v>
      </c>
      <c r="I556" s="3" t="str">
        <v>Plutonium</v>
      </c>
      <c r="J556" s="3" t="str">
        <v>Liquid</v>
      </c>
      <c r="K556" s="3">
        <v>6608.0999000000002</v>
      </c>
      <c r="L556" s="3">
        <v>66.974299999999999</v>
      </c>
      <c r="M556" s="3" t="str">
        <v/>
      </c>
      <c r="N556" s="3" t="str">
        <v/>
      </c>
      <c r="O556" s="3">
        <v>944</v>
      </c>
      <c r="P556" s="3">
        <v>3000</v>
      </c>
      <c r="Q556" s="3">
        <v>42.247999999999998</v>
      </c>
      <c r="R556" s="3">
        <v>0</v>
      </c>
      <c r="S556" s="3">
        <v>0</v>
      </c>
      <c r="T556" s="3">
        <v>0</v>
      </c>
      <c r="U556" s="3">
        <v>0</v>
      </c>
      <c r="V556" s="3">
        <v>0</v>
      </c>
      <c r="W556" s="3">
        <v>0</v>
      </c>
      <c r="X556" s="3">
        <v>0</v>
      </c>
      <c r="Y556" s="3">
        <v>0</v>
      </c>
      <c r="Z556" s="3">
        <v>0</v>
      </c>
      <c r="AA556" s="3">
        <v>0</v>
      </c>
      <c r="AB556" s="3">
        <v>0</v>
      </c>
      <c r="AC556" s="3">
        <v>0</v>
      </c>
      <c r="AD556" s="3">
        <v>0</v>
      </c>
      <c r="AE556" s="3">
        <v>0</v>
      </c>
      <c r="AF556" s="3">
        <v>0</v>
      </c>
    </row>
    <row r="557" spans="8:32" x14ac:dyDescent="0.35">
      <c r="H557" s="3" t="str">
        <v>Pu</v>
      </c>
      <c r="I557" s="3" t="str">
        <v>Plutonium</v>
      </c>
      <c r="J557" s="3" t="str">
        <v>Gas</v>
      </c>
      <c r="K557" s="3">
        <v>347999.99999999994</v>
      </c>
      <c r="L557" s="3">
        <v>177.16399999999999</v>
      </c>
      <c r="M557" s="3" t="str">
        <v/>
      </c>
      <c r="N557" s="3" t="str">
        <v/>
      </c>
      <c r="O557" s="3">
        <v>298.14999999999998</v>
      </c>
      <c r="P557" s="3">
        <v>500</v>
      </c>
      <c r="Q557" s="3">
        <v>20.303689999999985</v>
      </c>
      <c r="R557" s="3">
        <v>0</v>
      </c>
      <c r="S557" s="3">
        <v>-8.7238879999999921E-3</v>
      </c>
      <c r="T557" s="3">
        <v>1</v>
      </c>
      <c r="U557" s="3">
        <v>81312.76000000014</v>
      </c>
      <c r="V557" s="3">
        <v>-2</v>
      </c>
      <c r="W557" s="3">
        <v>2.5179989999999995E-5</v>
      </c>
      <c r="X557" s="3">
        <v>2</v>
      </c>
      <c r="Y557" s="3">
        <v>0</v>
      </c>
      <c r="Z557" s="3">
        <v>0</v>
      </c>
      <c r="AA557" s="3">
        <v>0</v>
      </c>
      <c r="AB557" s="3">
        <v>0</v>
      </c>
      <c r="AC557" s="3">
        <v>0</v>
      </c>
      <c r="AD557" s="3">
        <v>0</v>
      </c>
      <c r="AE557" s="3">
        <v>0</v>
      </c>
      <c r="AF557" s="3">
        <v>0</v>
      </c>
    </row>
    <row r="558" spans="8:32" x14ac:dyDescent="0.35">
      <c r="H558" s="3" t="str">
        <v>Pu</v>
      </c>
      <c r="I558" s="3" t="str">
        <v>Plutonium</v>
      </c>
      <c r="J558" s="3" t="str">
        <v>Gas</v>
      </c>
      <c r="K558" s="3">
        <v>347999.99999999994</v>
      </c>
      <c r="L558" s="3">
        <v>177.16399999999999</v>
      </c>
      <c r="M558" s="3" t="str">
        <v/>
      </c>
      <c r="N558" s="3" t="str">
        <v/>
      </c>
      <c r="O558" s="3">
        <v>500</v>
      </c>
      <c r="P558" s="3">
        <v>1000</v>
      </c>
      <c r="Q558" s="3">
        <v>3.2165710000000014</v>
      </c>
      <c r="R558" s="3">
        <v>0</v>
      </c>
      <c r="S558" s="3">
        <v>3.5637510000000004E-2</v>
      </c>
      <c r="T558" s="3">
        <v>1</v>
      </c>
      <c r="U558" s="3">
        <v>810745.49999999942</v>
      </c>
      <c r="V558" s="3">
        <v>-2</v>
      </c>
      <c r="W558" s="3">
        <v>-6.8654829999999982E-6</v>
      </c>
      <c r="X558" s="3">
        <v>2</v>
      </c>
      <c r="Y558" s="3">
        <v>0</v>
      </c>
      <c r="Z558" s="3">
        <v>0</v>
      </c>
      <c r="AA558" s="3">
        <v>0</v>
      </c>
      <c r="AB558" s="3">
        <v>0</v>
      </c>
      <c r="AC558" s="3">
        <v>0</v>
      </c>
      <c r="AD558" s="3">
        <v>0</v>
      </c>
      <c r="AE558" s="3">
        <v>0</v>
      </c>
      <c r="AF558" s="3">
        <v>0</v>
      </c>
    </row>
    <row r="559" spans="8:32" x14ac:dyDescent="0.35">
      <c r="H559" s="3" t="str">
        <v>Pu</v>
      </c>
      <c r="I559" s="3" t="str">
        <v>Plutonium</v>
      </c>
      <c r="J559" s="3" t="str">
        <v>Gas</v>
      </c>
      <c r="K559" s="3">
        <v>347999.99999999994</v>
      </c>
      <c r="L559" s="3">
        <v>177.16399999999999</v>
      </c>
      <c r="M559" s="3" t="str">
        <v/>
      </c>
      <c r="N559" s="3" t="str">
        <v/>
      </c>
      <c r="O559" s="3">
        <v>1000</v>
      </c>
      <c r="P559" s="3">
        <v>2000</v>
      </c>
      <c r="Q559" s="3">
        <v>-8.2162509999999784</v>
      </c>
      <c r="R559" s="3">
        <v>0</v>
      </c>
      <c r="S559" s="3">
        <v>4.5110999999999964E-2</v>
      </c>
      <c r="T559" s="3">
        <v>1</v>
      </c>
      <c r="U559" s="3">
        <v>4380506.9999999814</v>
      </c>
      <c r="V559" s="3">
        <v>-2</v>
      </c>
      <c r="W559" s="3">
        <v>-8.4761069999999805E-6</v>
      </c>
      <c r="X559" s="3">
        <v>2</v>
      </c>
      <c r="Y559" s="3">
        <v>0</v>
      </c>
      <c r="Z559" s="3">
        <v>0</v>
      </c>
      <c r="AA559" s="3">
        <v>0</v>
      </c>
      <c r="AB559" s="3">
        <v>0</v>
      </c>
      <c r="AC559" s="3">
        <v>0</v>
      </c>
      <c r="AD559" s="3">
        <v>0</v>
      </c>
      <c r="AE559" s="3">
        <v>0</v>
      </c>
      <c r="AF559" s="3">
        <v>0</v>
      </c>
    </row>
    <row r="560" spans="8:32" x14ac:dyDescent="0.35">
      <c r="H560" s="3" t="str">
        <v>Pu</v>
      </c>
      <c r="I560" s="3" t="str">
        <v>Plutonium</v>
      </c>
      <c r="J560" s="3" t="str">
        <v>Gas</v>
      </c>
      <c r="K560" s="3">
        <v>347999.99999999994</v>
      </c>
      <c r="L560" s="3">
        <v>177.16399999999999</v>
      </c>
      <c r="M560" s="3" t="str">
        <v/>
      </c>
      <c r="N560" s="3" t="str">
        <v/>
      </c>
      <c r="O560" s="3">
        <v>2000</v>
      </c>
      <c r="P560" s="3">
        <v>3200</v>
      </c>
      <c r="Q560" s="3">
        <v>75.008430000000061</v>
      </c>
      <c r="R560" s="3">
        <v>0</v>
      </c>
      <c r="S560" s="3">
        <v>-1.1903359999999986E-2</v>
      </c>
      <c r="T560" s="3">
        <v>1</v>
      </c>
      <c r="U560" s="3">
        <v>-47881330.000000112</v>
      </c>
      <c r="V560" s="3">
        <v>-2</v>
      </c>
      <c r="W560" s="3">
        <v>2.4911899999999984E-6</v>
      </c>
      <c r="X560" s="3">
        <v>2</v>
      </c>
      <c r="Y560" s="3">
        <v>0</v>
      </c>
      <c r="Z560" s="3">
        <v>0</v>
      </c>
      <c r="AA560" s="3">
        <v>0</v>
      </c>
      <c r="AB560" s="3">
        <v>0</v>
      </c>
      <c r="AC560" s="3">
        <v>0</v>
      </c>
      <c r="AD560" s="3">
        <v>0</v>
      </c>
      <c r="AE560" s="3">
        <v>0</v>
      </c>
      <c r="AF560" s="3">
        <v>0</v>
      </c>
    </row>
    <row r="561" spans="8:32" x14ac:dyDescent="0.35">
      <c r="H561" s="3" t="str">
        <v>Pu</v>
      </c>
      <c r="I561" s="3" t="str">
        <v>Plutonium</v>
      </c>
      <c r="J561" s="3" t="str">
        <v>Gas</v>
      </c>
      <c r="K561" s="3">
        <v>347999.99999999994</v>
      </c>
      <c r="L561" s="3">
        <v>177.16399999999999</v>
      </c>
      <c r="M561" s="3" t="str">
        <v/>
      </c>
      <c r="N561" s="3" t="str">
        <v/>
      </c>
      <c r="O561" s="3">
        <v>3200</v>
      </c>
      <c r="P561" s="3">
        <v>4700</v>
      </c>
      <c r="Q561" s="3">
        <v>-69.567179999999979</v>
      </c>
      <c r="R561" s="3">
        <v>0</v>
      </c>
      <c r="S561" s="3">
        <v>5.2514930000000112E-2</v>
      </c>
      <c r="T561" s="3">
        <v>1</v>
      </c>
      <c r="U561" s="3">
        <v>164756899.99999985</v>
      </c>
      <c r="V561" s="3">
        <v>-2</v>
      </c>
      <c r="W561" s="3">
        <v>-5.5486769999999859E-6</v>
      </c>
      <c r="X561" s="3">
        <v>2</v>
      </c>
      <c r="Y561" s="3">
        <v>0</v>
      </c>
      <c r="Z561" s="3">
        <v>0</v>
      </c>
      <c r="AA561" s="3">
        <v>0</v>
      </c>
      <c r="AB561" s="3">
        <v>0</v>
      </c>
      <c r="AC561" s="3">
        <v>0</v>
      </c>
      <c r="AD561" s="3">
        <v>0</v>
      </c>
      <c r="AE561" s="3">
        <v>0</v>
      </c>
      <c r="AF561" s="3">
        <v>0</v>
      </c>
    </row>
    <row r="562" spans="8:32" x14ac:dyDescent="0.35">
      <c r="H562" s="3" t="str">
        <v>Pu</v>
      </c>
      <c r="I562" s="3" t="str">
        <v>Plutonium</v>
      </c>
      <c r="J562" s="3" t="str">
        <v>Gas</v>
      </c>
      <c r="K562" s="3">
        <v>347999.99999999994</v>
      </c>
      <c r="L562" s="3">
        <v>177.16399999999999</v>
      </c>
      <c r="M562" s="3" t="str">
        <v/>
      </c>
      <c r="N562" s="3" t="str">
        <v/>
      </c>
      <c r="O562" s="3">
        <v>4700</v>
      </c>
      <c r="P562" s="3">
        <v>7600</v>
      </c>
      <c r="Q562" s="3">
        <v>251.16400000000013</v>
      </c>
      <c r="R562" s="3">
        <v>0</v>
      </c>
      <c r="S562" s="3">
        <v>-3.9757039999999987E-2</v>
      </c>
      <c r="T562" s="3">
        <v>1</v>
      </c>
      <c r="U562" s="3">
        <v>-992911100</v>
      </c>
      <c r="V562" s="3">
        <v>-2</v>
      </c>
      <c r="W562" s="3">
        <v>1.9367809999999982E-6</v>
      </c>
      <c r="X562" s="3">
        <v>2</v>
      </c>
      <c r="Y562" s="3">
        <v>0</v>
      </c>
      <c r="Z562" s="3">
        <v>0</v>
      </c>
      <c r="AA562" s="3">
        <v>0</v>
      </c>
      <c r="AB562" s="3">
        <v>0</v>
      </c>
      <c r="AC562" s="3">
        <v>0</v>
      </c>
      <c r="AD562" s="3">
        <v>0</v>
      </c>
      <c r="AE562" s="3">
        <v>0</v>
      </c>
      <c r="AF562" s="3">
        <v>0</v>
      </c>
    </row>
    <row r="563" spans="8:32" x14ac:dyDescent="0.35">
      <c r="H563" s="3" t="str">
        <v>Pu</v>
      </c>
      <c r="I563" s="3" t="str">
        <v>Plutonium</v>
      </c>
      <c r="J563" s="3" t="str">
        <v>Gas</v>
      </c>
      <c r="K563" s="3">
        <v>347999.99999999994</v>
      </c>
      <c r="L563" s="3">
        <v>177.16399999999999</v>
      </c>
      <c r="M563" s="3" t="str">
        <v/>
      </c>
      <c r="N563" s="3" t="str">
        <v/>
      </c>
      <c r="O563" s="3">
        <v>7600</v>
      </c>
      <c r="P563" s="3">
        <v>10000</v>
      </c>
      <c r="Q563" s="3">
        <v>72.152960000000149</v>
      </c>
      <c r="R563" s="3">
        <v>0</v>
      </c>
      <c r="S563" s="3">
        <v>-7.5003430000000005E-3</v>
      </c>
      <c r="T563" s="3">
        <v>1</v>
      </c>
      <c r="U563" s="3">
        <v>655746399.99999905</v>
      </c>
      <c r="V563" s="3">
        <v>-2</v>
      </c>
      <c r="W563" s="3">
        <v>2.9753699999999997E-7</v>
      </c>
      <c r="X563" s="3">
        <v>2</v>
      </c>
      <c r="Y563" s="3">
        <v>0</v>
      </c>
      <c r="Z563" s="3">
        <v>0</v>
      </c>
      <c r="AA563" s="3">
        <v>0</v>
      </c>
      <c r="AB563" s="3">
        <v>0</v>
      </c>
      <c r="AC563" s="3">
        <v>0</v>
      </c>
      <c r="AD563" s="3">
        <v>0</v>
      </c>
      <c r="AE563" s="3">
        <v>0</v>
      </c>
      <c r="AF563" s="3">
        <v>0</v>
      </c>
    </row>
    <row r="564" spans="8:32" x14ac:dyDescent="0.35">
      <c r="H564" s="3" t="str">
        <v>Am</v>
      </c>
      <c r="I564" s="3" t="str">
        <v>Americium</v>
      </c>
      <c r="J564" s="3" t="str">
        <v>Hcp</v>
      </c>
      <c r="K564" s="3">
        <v>0</v>
      </c>
      <c r="L564" s="3">
        <v>55.400000912000003</v>
      </c>
      <c r="M564" s="3" t="str">
        <v/>
      </c>
      <c r="N564" s="3" t="str">
        <v/>
      </c>
      <c r="O564" s="3">
        <v>298</v>
      </c>
      <c r="P564" s="3">
        <v>1042</v>
      </c>
      <c r="Q564" s="3">
        <v>4.4720000000000004</v>
      </c>
      <c r="R564" s="3">
        <v>0</v>
      </c>
      <c r="S564" s="3">
        <v>4.0210000000000003E-3</v>
      </c>
      <c r="T564" s="3">
        <v>1</v>
      </c>
      <c r="U564" s="3">
        <v>37800</v>
      </c>
      <c r="V564" s="3">
        <v>-2</v>
      </c>
      <c r="W564" s="3">
        <v>0</v>
      </c>
      <c r="X564" s="3">
        <v>0</v>
      </c>
      <c r="Y564" s="3">
        <v>0</v>
      </c>
      <c r="Z564" s="3">
        <v>0</v>
      </c>
      <c r="AA564" s="3">
        <v>0</v>
      </c>
      <c r="AB564" s="3">
        <v>0</v>
      </c>
      <c r="AC564" s="3">
        <v>0</v>
      </c>
      <c r="AD564" s="3">
        <v>0</v>
      </c>
      <c r="AE564" s="3">
        <v>0</v>
      </c>
      <c r="AF564" s="3">
        <v>0</v>
      </c>
    </row>
    <row r="565" spans="8:32" x14ac:dyDescent="0.35">
      <c r="H565" s="3" t="str">
        <v>Am</v>
      </c>
      <c r="I565" s="3" t="str">
        <v>Americium</v>
      </c>
      <c r="J565" s="3" t="str">
        <v>Fcc</v>
      </c>
      <c r="K565" s="3" t="str">
        <v/>
      </c>
      <c r="L565" s="3" t="str">
        <v/>
      </c>
      <c r="M565" s="3">
        <v>870.27200000000005</v>
      </c>
      <c r="N565" s="3">
        <v>1042</v>
      </c>
      <c r="O565" s="3">
        <v>298</v>
      </c>
      <c r="P565" s="3">
        <v>1042</v>
      </c>
      <c r="Q565" s="3">
        <v>4.4720000000000004</v>
      </c>
      <c r="R565" s="3">
        <v>0</v>
      </c>
      <c r="S565" s="3">
        <v>4.0210000000000003E-3</v>
      </c>
      <c r="T565" s="3">
        <v>1</v>
      </c>
      <c r="U565" s="3">
        <v>37800</v>
      </c>
      <c r="V565" s="3">
        <v>-2</v>
      </c>
      <c r="W565" s="3">
        <v>0</v>
      </c>
      <c r="X565" s="3">
        <v>0</v>
      </c>
      <c r="Y565" s="3">
        <v>0</v>
      </c>
      <c r="Z565" s="3">
        <v>0</v>
      </c>
      <c r="AA565" s="3">
        <v>0</v>
      </c>
      <c r="AB565" s="3">
        <v>0</v>
      </c>
      <c r="AC565" s="3">
        <v>0</v>
      </c>
      <c r="AD565" s="3">
        <v>0</v>
      </c>
      <c r="AE565" s="3">
        <v>0</v>
      </c>
      <c r="AF565" s="3">
        <v>0</v>
      </c>
    </row>
    <row r="566" spans="8:32" x14ac:dyDescent="0.35">
      <c r="H566" s="3" t="str">
        <v>Am</v>
      </c>
      <c r="I566" s="3" t="str">
        <v>Americium</v>
      </c>
      <c r="J566" s="3" t="str">
        <v>Fcc</v>
      </c>
      <c r="K566" s="3" t="str">
        <v/>
      </c>
      <c r="L566" s="3" t="str">
        <v/>
      </c>
      <c r="M566" s="3">
        <v>870.27200000000005</v>
      </c>
      <c r="N566" s="3">
        <v>1042</v>
      </c>
      <c r="O566" s="3">
        <v>1042</v>
      </c>
      <c r="P566" s="3">
        <v>1350</v>
      </c>
      <c r="Q566" s="3">
        <v>3.1219999999999999</v>
      </c>
      <c r="R566" s="3">
        <v>0</v>
      </c>
      <c r="S566" s="3">
        <v>4.3E-3</v>
      </c>
      <c r="T566" s="3">
        <v>1</v>
      </c>
      <c r="U566" s="3">
        <v>481600</v>
      </c>
      <c r="V566" s="3">
        <v>-2</v>
      </c>
      <c r="W566" s="3">
        <v>0</v>
      </c>
      <c r="X566" s="3">
        <v>0</v>
      </c>
      <c r="Y566" s="3">
        <v>0</v>
      </c>
      <c r="Z566" s="3">
        <v>0</v>
      </c>
      <c r="AA566" s="3">
        <v>0</v>
      </c>
      <c r="AB566" s="3">
        <v>0</v>
      </c>
      <c r="AC566" s="3">
        <v>0</v>
      </c>
      <c r="AD566" s="3">
        <v>0</v>
      </c>
      <c r="AE566" s="3">
        <v>0</v>
      </c>
      <c r="AF566" s="3">
        <v>0</v>
      </c>
    </row>
    <row r="567" spans="8:32" x14ac:dyDescent="0.35">
      <c r="H567" s="3" t="str">
        <v>Am</v>
      </c>
      <c r="I567" s="3" t="str">
        <v>Americium</v>
      </c>
      <c r="J567" s="3" t="str">
        <v>Bcc</v>
      </c>
      <c r="K567" s="3" t="str">
        <v/>
      </c>
      <c r="L567" s="3" t="str">
        <v/>
      </c>
      <c r="M567" s="3">
        <v>5861.7840000000006</v>
      </c>
      <c r="N567" s="3">
        <v>1350</v>
      </c>
      <c r="O567" s="3">
        <v>298</v>
      </c>
      <c r="P567" s="3">
        <v>1350</v>
      </c>
      <c r="Q567" s="3">
        <v>4.4720000000000004</v>
      </c>
      <c r="R567" s="3">
        <v>0</v>
      </c>
      <c r="S567" s="3">
        <v>4.0210000000000003E-3</v>
      </c>
      <c r="T567" s="3">
        <v>1</v>
      </c>
      <c r="U567" s="3">
        <v>37800</v>
      </c>
      <c r="V567" s="3">
        <v>-2</v>
      </c>
      <c r="W567" s="3">
        <v>0</v>
      </c>
      <c r="X567" s="3">
        <v>0</v>
      </c>
      <c r="Y567" s="3">
        <v>0</v>
      </c>
      <c r="Z567" s="3">
        <v>0</v>
      </c>
      <c r="AA567" s="3">
        <v>0</v>
      </c>
      <c r="AB567" s="3">
        <v>0</v>
      </c>
      <c r="AC567" s="3">
        <v>0</v>
      </c>
      <c r="AD567" s="3">
        <v>0</v>
      </c>
      <c r="AE567" s="3">
        <v>0</v>
      </c>
      <c r="AF567" s="3">
        <v>0</v>
      </c>
    </row>
    <row r="568" spans="8:32" x14ac:dyDescent="0.35">
      <c r="H568" s="3" t="str">
        <v>Am</v>
      </c>
      <c r="I568" s="3" t="str">
        <v>Americium</v>
      </c>
      <c r="J568" s="3" t="str">
        <v>Bcc</v>
      </c>
      <c r="K568" s="3" t="str">
        <v/>
      </c>
      <c r="L568" s="3" t="str">
        <v/>
      </c>
      <c r="M568" s="3">
        <v>5861.7840000000006</v>
      </c>
      <c r="N568" s="3">
        <v>1350</v>
      </c>
      <c r="O568" s="3">
        <v>1350</v>
      </c>
      <c r="P568" s="3">
        <v>1449</v>
      </c>
      <c r="Q568" s="3">
        <v>9.5</v>
      </c>
      <c r="R568" s="3">
        <v>0</v>
      </c>
      <c r="S568" s="3">
        <v>0</v>
      </c>
      <c r="T568" s="3">
        <v>0</v>
      </c>
      <c r="U568" s="3">
        <v>0</v>
      </c>
      <c r="V568" s="3">
        <v>0</v>
      </c>
      <c r="W568" s="3">
        <v>0</v>
      </c>
      <c r="X568" s="3">
        <v>0</v>
      </c>
      <c r="Y568" s="3">
        <v>0</v>
      </c>
      <c r="Z568" s="3">
        <v>0</v>
      </c>
      <c r="AA568" s="3">
        <v>0</v>
      </c>
      <c r="AB568" s="3">
        <v>0</v>
      </c>
      <c r="AC568" s="3">
        <v>0</v>
      </c>
      <c r="AD568" s="3">
        <v>0</v>
      </c>
      <c r="AE568" s="3">
        <v>0</v>
      </c>
      <c r="AF568" s="3">
        <v>0</v>
      </c>
    </row>
    <row r="569" spans="8:32" x14ac:dyDescent="0.35">
      <c r="H569" s="3" t="str">
        <v>Am</v>
      </c>
      <c r="I569" s="3" t="str">
        <v>Americium</v>
      </c>
      <c r="J569" s="3" t="str">
        <v>Liquid</v>
      </c>
      <c r="K569" s="3" t="str">
        <v/>
      </c>
      <c r="L569" s="3" t="str">
        <v/>
      </c>
      <c r="M569" s="3">
        <v>14392.960000000001</v>
      </c>
      <c r="N569" s="3">
        <v>1449</v>
      </c>
      <c r="O569" s="3">
        <v>298.14999999999998</v>
      </c>
      <c r="P569" s="3">
        <v>1000</v>
      </c>
      <c r="Q569" s="3">
        <v>4.4720000000000004</v>
      </c>
      <c r="R569" s="3">
        <v>0</v>
      </c>
      <c r="S569" s="3">
        <v>4.0210000000000003E-3</v>
      </c>
      <c r="T569" s="3">
        <v>1</v>
      </c>
      <c r="U569" s="3">
        <v>37800</v>
      </c>
      <c r="V569" s="3">
        <v>-2</v>
      </c>
      <c r="W569" s="3">
        <v>0</v>
      </c>
      <c r="X569" s="3">
        <v>0</v>
      </c>
      <c r="Y569" s="3">
        <v>0</v>
      </c>
      <c r="Z569" s="3">
        <v>0</v>
      </c>
      <c r="AA569" s="3">
        <v>0</v>
      </c>
      <c r="AB569" s="3">
        <v>0</v>
      </c>
      <c r="AC569" s="3">
        <v>0</v>
      </c>
      <c r="AD569" s="3">
        <v>0</v>
      </c>
      <c r="AE569" s="3">
        <v>0</v>
      </c>
      <c r="AF569" s="3">
        <v>0</v>
      </c>
    </row>
    <row r="570" spans="8:32" x14ac:dyDescent="0.35">
      <c r="H570" s="3" t="str">
        <v>Am</v>
      </c>
      <c r="I570" s="3" t="str">
        <v>Americium</v>
      </c>
      <c r="J570" s="3" t="str">
        <v>Liquid</v>
      </c>
      <c r="K570" s="3" t="str">
        <v/>
      </c>
      <c r="L570" s="3" t="str">
        <v/>
      </c>
      <c r="M570" s="3">
        <v>14392.960000000001</v>
      </c>
      <c r="N570" s="3">
        <v>1449</v>
      </c>
      <c r="O570" s="3">
        <v>1000</v>
      </c>
      <c r="P570" s="3">
        <v>3000</v>
      </c>
      <c r="Q570" s="3">
        <v>10</v>
      </c>
      <c r="R570" s="3">
        <v>0</v>
      </c>
      <c r="S570" s="3">
        <v>0</v>
      </c>
      <c r="T570" s="3">
        <v>0</v>
      </c>
      <c r="U570" s="3">
        <v>0</v>
      </c>
      <c r="V570" s="3">
        <v>0</v>
      </c>
      <c r="W570" s="3">
        <v>0</v>
      </c>
      <c r="X570" s="3">
        <v>0</v>
      </c>
      <c r="Y570" s="3">
        <v>0</v>
      </c>
      <c r="Z570" s="3">
        <v>0</v>
      </c>
      <c r="AA570" s="3">
        <v>0</v>
      </c>
      <c r="AB570" s="3">
        <v>0</v>
      </c>
      <c r="AC570" s="3">
        <v>0</v>
      </c>
      <c r="AD570" s="3">
        <v>0</v>
      </c>
      <c r="AE570" s="3">
        <v>0</v>
      </c>
      <c r="AF570" s="3">
        <v>0</v>
      </c>
    </row>
    <row r="571" spans="8:32" x14ac:dyDescent="0.35">
      <c r="H571" s="3" t="str">
        <v>Am</v>
      </c>
      <c r="I571" s="3" t="str">
        <v>Americium</v>
      </c>
      <c r="J571" s="3" t="str">
        <v>Gas</v>
      </c>
      <c r="K571" s="3">
        <v>283800.000352</v>
      </c>
      <c r="L571" s="3">
        <v>194.43999860000002</v>
      </c>
      <c r="M571" s="3" t="str">
        <v/>
      </c>
      <c r="N571" s="3" t="str">
        <v/>
      </c>
      <c r="O571" s="3">
        <v>298</v>
      </c>
      <c r="P571" s="3">
        <v>1500</v>
      </c>
      <c r="Q571" s="3">
        <v>4.9710000000000001</v>
      </c>
      <c r="R571" s="3">
        <v>0</v>
      </c>
      <c r="S571" s="3">
        <v>0</v>
      </c>
      <c r="T571" s="3">
        <v>0</v>
      </c>
      <c r="U571" s="3">
        <v>0</v>
      </c>
      <c r="V571" s="3">
        <v>0</v>
      </c>
      <c r="W571" s="3">
        <v>0</v>
      </c>
      <c r="X571" s="3">
        <v>0</v>
      </c>
      <c r="Y571" s="3">
        <v>0</v>
      </c>
      <c r="Z571" s="3">
        <v>0</v>
      </c>
      <c r="AA571" s="3">
        <v>0</v>
      </c>
      <c r="AB571" s="3">
        <v>0</v>
      </c>
      <c r="AC571" s="3">
        <v>0</v>
      </c>
      <c r="AD571" s="3">
        <v>0</v>
      </c>
      <c r="AE571" s="3">
        <v>0</v>
      </c>
      <c r="AF571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A1013-9D31-4DDC-9794-BAA4CA54DB34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58E4D-A6A6-46F8-B65D-E9D359A5B66B}">
  <sheetPr codeName="Sheet4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671AA7A1-46EA-4020-84BA-07F1F1240C3F}">
  <ds:schemaRefs/>
</ds:datastoreItem>
</file>

<file path=customXml/itemProps2.xml><?xml version="1.0" encoding="utf-8"?>
<ds:datastoreItem xmlns:ds="http://schemas.openxmlformats.org/officeDocument/2006/customXml" ds:itemID="{29C6B27C-38FF-4CB0-9BD3-AFE55D1FB475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E82F536-B2A6-446A-B0AA-43F59D4A256C}">
  <ds:schemaRefs/>
</ds:datastoreItem>
</file>

<file path=customXml/itemProps4.xml><?xml version="1.0" encoding="utf-8"?>
<ds:datastoreItem xmlns:ds="http://schemas.openxmlformats.org/officeDocument/2006/customXml" ds:itemID="{474DAA72-B675-44AB-B59E-190E061F53FC}">
  <ds:schemaRefs/>
</ds:datastoreItem>
</file>

<file path=customXml/itemProps5.xml><?xml version="1.0" encoding="utf-8"?>
<ds:datastoreItem xmlns:ds="http://schemas.openxmlformats.org/officeDocument/2006/customXml" ds:itemID="{BD13945F-2C8E-4935-9130-C46DE5599FBD}">
  <ds:schemaRefs/>
</ds:datastoreItem>
</file>

<file path=customXml/itemProps6.xml><?xml version="1.0" encoding="utf-8"?>
<ds:datastoreItem xmlns:ds="http://schemas.openxmlformats.org/officeDocument/2006/customXml" ds:itemID="{79255C08-A39B-4B42-AE6E-53051612DC5B}">
  <ds:schemaRefs/>
</ds:datastoreItem>
</file>

<file path=customXml/itemProps7.xml><?xml version="1.0" encoding="utf-8"?>
<ds:datastoreItem xmlns:ds="http://schemas.openxmlformats.org/officeDocument/2006/customXml" ds:itemID="{2245B006-7B37-4820-98A4-122F0AAC275F}">
  <ds:schemaRefs/>
</ds:datastoreItem>
</file>

<file path=customXml/itemProps8.xml><?xml version="1.0" encoding="utf-8"?>
<ds:datastoreItem xmlns:ds="http://schemas.openxmlformats.org/officeDocument/2006/customXml" ds:itemID="{601C7DD8-06FF-47B8-997D-B774237E89D3}">
  <ds:schemaRefs/>
</ds:datastoreItem>
</file>

<file path=customXml/itemProps9.xml><?xml version="1.0" encoding="utf-8"?>
<ds:datastoreItem xmlns:ds="http://schemas.openxmlformats.org/officeDocument/2006/customXml" ds:itemID="{FCC4B6D3-80D6-4630-8B8E-255453BB2274}">
  <ds:schemaRefs/>
</ds:datastoreItem>
</file>

<file path=customXml/itemProps10.xml><?xml version="1.0" encoding="utf-8"?>
<ds:datastoreItem xmlns:ds="http://schemas.openxmlformats.org/officeDocument/2006/customXml" ds:itemID="{EEE56F83-845A-4AD8-B6C1-149F8BE1D59C}">
  <ds:schemaRefs/>
</ds:datastoreItem>
</file>

<file path=customXml/itemProps11.xml><?xml version="1.0" encoding="utf-8"?>
<ds:datastoreItem xmlns:ds="http://schemas.openxmlformats.org/officeDocument/2006/customXml" ds:itemID="{4680D3DB-7898-4145-B3D2-FC28D0CF19AF}">
  <ds:schemaRefs/>
</ds:datastoreItem>
</file>

<file path=customXml/itemProps12.xml><?xml version="1.0" encoding="utf-8"?>
<ds:datastoreItem xmlns:ds="http://schemas.openxmlformats.org/officeDocument/2006/customXml" ds:itemID="{25FB434B-E063-4907-ACEA-36BB6775A729}">
  <ds:schemaRefs/>
</ds:datastoreItem>
</file>

<file path=customXml/itemProps13.xml><?xml version="1.0" encoding="utf-8"?>
<ds:datastoreItem xmlns:ds="http://schemas.openxmlformats.org/officeDocument/2006/customXml" ds:itemID="{E7E51934-699D-4AF2-8A66-D32B9D881668}">
  <ds:schemaRefs/>
</ds:datastoreItem>
</file>

<file path=customXml/itemProps14.xml><?xml version="1.0" encoding="utf-8"?>
<ds:datastoreItem xmlns:ds="http://schemas.openxmlformats.org/officeDocument/2006/customXml" ds:itemID="{D889B1F1-8B00-4C2F-8899-0BDE84119C2B}">
  <ds:schemaRefs/>
</ds:datastoreItem>
</file>

<file path=customXml/itemProps15.xml><?xml version="1.0" encoding="utf-8"?>
<ds:datastoreItem xmlns:ds="http://schemas.openxmlformats.org/officeDocument/2006/customXml" ds:itemID="{5DDEF406-EC5B-40EE-9472-0B774C6412F2}">
  <ds:schemaRefs/>
</ds:datastoreItem>
</file>

<file path=customXml/itemProps16.xml><?xml version="1.0" encoding="utf-8"?>
<ds:datastoreItem xmlns:ds="http://schemas.openxmlformats.org/officeDocument/2006/customXml" ds:itemID="{BECE0A19-01BA-42F7-8EBD-DE162FF37C70}">
  <ds:schemaRefs/>
</ds:datastoreItem>
</file>

<file path=customXml/itemProps17.xml><?xml version="1.0" encoding="utf-8"?>
<ds:datastoreItem xmlns:ds="http://schemas.openxmlformats.org/officeDocument/2006/customXml" ds:itemID="{3F7B6728-2CB1-481D-9F42-C47A59C3FC1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xlwings.conf</vt:lpstr>
      <vt:lpstr>LIST_COMPOUNDS</vt:lpstr>
      <vt:lpstr>COMPARE_COMPOUNDS</vt:lpstr>
      <vt:lpstr>COMPARE_ENDMEMBERS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Evgenii Nekhoroshev</dc:creator>
  <cp:lastModifiedBy>Evgenii Nekhoroshev</cp:lastModifiedBy>
  <cp:lastPrinted>2021-02-02T06:35:49Z</cp:lastPrinted>
  <dcterms:created xsi:type="dcterms:W3CDTF">2020-08-11T23:31:32Z</dcterms:created>
  <dcterms:modified xsi:type="dcterms:W3CDTF">2026-06-04T06:41:38Z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488380-630a-4f55-a077-a19445e3f360_Enabled">
    <vt:lpwstr>true</vt:lpwstr>
  </property>
  <property fmtid="{D5CDD505-2E9C-101B-9397-08002B2CF9AE}" pid="3" name="MSIP_Label_0f488380-630a-4f55-a077-a19445e3f360_SetDate">
    <vt:lpwstr>2021-12-02T01:13:40Z</vt:lpwstr>
  </property>
  <property fmtid="{D5CDD505-2E9C-101B-9397-08002B2CF9AE}" pid="4" name="MSIP_Label_0f488380-630a-4f55-a077-a19445e3f360_Method">
    <vt:lpwstr>Standard</vt:lpwstr>
  </property>
  <property fmtid="{D5CDD505-2E9C-101B-9397-08002B2CF9AE}" pid="5" name="MSIP_Label_0f488380-630a-4f55-a077-a19445e3f360_Name">
    <vt:lpwstr>OFFICIAL - INTERNAL</vt:lpwstr>
  </property>
  <property fmtid="{D5CDD505-2E9C-101B-9397-08002B2CF9AE}" pid="6" name="MSIP_Label_0f488380-630a-4f55-a077-a19445e3f360_SiteId">
    <vt:lpwstr>b6e377cf-9db3-46cb-91a2-fad9605bb15c</vt:lpwstr>
  </property>
  <property fmtid="{D5CDD505-2E9C-101B-9397-08002B2CF9AE}" pid="7" name="MSIP_Label_0f488380-630a-4f55-a077-a19445e3f360_ActionId">
    <vt:lpwstr>aa2c89b2-1299-466f-aea7-08d5669b4da6</vt:lpwstr>
  </property>
  <property fmtid="{D5CDD505-2E9C-101B-9397-08002B2CF9AE}" pid="8" name="MSIP_Label_0f488380-630a-4f55-a077-a19445e3f360_ContentBits">
    <vt:lpwstr>0</vt:lpwstr>
  </property>
</Properties>
</file>