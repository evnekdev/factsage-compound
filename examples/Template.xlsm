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_WORK\Code\factsage-compound\examples\"/>
    </mc:Choice>
  </mc:AlternateContent>
  <xr:revisionPtr revIDLastSave="0" documentId="13_ncr:1_{38EE35E2-CC21-479C-95F1-24DE222B0FE1}" xr6:coauthVersionLast="47" xr6:coauthVersionMax="47" xr10:uidLastSave="{00000000-0000-0000-0000-000000000000}"/>
  <bookViews>
    <workbookView xWindow="-51720" yWindow="-120" windowWidth="51840" windowHeight="21120" activeTab="2" xr2:uid="{85E53A95-198C-48F1-82B7-603C7AB4AE21}"/>
  </bookViews>
  <sheets>
    <sheet name="xlwings.conf" sheetId="2" r:id="rId1"/>
    <sheet name="LIST_COMPOUNDS" sheetId="3" r:id="rId2"/>
    <sheet name="COMPARE_COMPOUNDS" sheetId="4" r:id="rId3"/>
  </sheets>
  <functionGroups builtInGroupCount="19">
    <functionGroup name="optiSLang Excel Add-In MOP Solve"/>
  </functionGroups>
  <externalReferences>
    <externalReference r:id="rId4"/>
  </externalReferences>
  <definedNames>
    <definedName name="_111_Figure_2">[1]Data!$AT$6:$AV$25</definedName>
    <definedName name="_2764_Figure_6">[1]Data!$HC$6:$HD$8</definedName>
    <definedName name="_xlcn.WorksheetConnection_OPT_CA_.xlsmTable6_21" hidden="1">Table6_2</definedName>
    <definedName name="_xlpm.A" hidden="1" xlm="1">#NAME?</definedName>
    <definedName name="_xlpm.x" hidden="1" xlm="1">#NAME?</definedName>
    <definedName name="B52513168">#REF!</definedName>
    <definedName name="interactions_CF">#REF!</definedName>
    <definedName name="interactions_CFS">#REF!</definedName>
    <definedName name="interactions_CS">#REF!</definedName>
    <definedName name="interactions_CW">#REF!</definedName>
    <definedName name="interactions_CWF">#REF!</definedName>
    <definedName name="interactions_CWS">#REF!</definedName>
    <definedName name="interactions_FS">#REF!</definedName>
    <definedName name="interactions_WF">#REF!</definedName>
    <definedName name="interactions_WFS">#REF!</definedName>
    <definedName name="interactions_WS">#REF!</definedName>
    <definedName name="values_CF">#REF!</definedName>
    <definedName name="values_CFS">#REF!</definedName>
    <definedName name="values_CS">#REF!</definedName>
    <definedName name="values_CW">#REF!</definedName>
    <definedName name="values_CWF">#REF!</definedName>
    <definedName name="values_CWS">#REF!</definedName>
    <definedName name="values_FS">#REF!</definedName>
    <definedName name="values_WF">#REF!</definedName>
    <definedName name="values_WFS">#REF!</definedName>
    <definedName name="values_WS">#REF!</definedName>
  </definedNames>
  <calcPr calcId="191029"/>
  <extLst>
    <ext xmlns:x14="http://schemas.microsoft.com/office/spreadsheetml/2009/9/main" uri="{8193D73E-4604-4355-AFF4-8A2333D13BE4}">
      <x14:definedNames>
        <x14:definedName name="acc2d_interpolate_phase_composition_cubic">
          <x14:argumentDescriptions count="5">
            <x14:argumentDescription index="0">Positional argument 1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acc2d_interpolate_phase_composition_linear">
          <x14:argumentDescriptions count="5">
            <x14:argumentDescription index="0">Positional argument 1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acc2d_interpolate_phase_composition_quadratic">
          <x14:argumentDescriptions count="5">
            <x14:argumentDescription index="0">Positional argument 1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acc2d_search_condition_constant_c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po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phase_assemblage">
          <x14:argumentDescriptions count="1">
            <x14:argumentDescription index="0">Positional argument 1</x14:argumentDescription>
          </x14:argumentDescriptions>
        </x14:definedName>
        <x14:definedName name="acc2d_search_phase_x">
          <x14:argumentDescriptions count="1">
            <x14:argumentDescription index="0">Positional argument 1</x14:argumentDescription>
          </x14:argumentDescriptions>
        </x14:definedName>
        <x14:definedName name="acc2d_search_phase_zp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test_axpy">
          <x14:argumentDescriptions count="1">
            <x14:argumentDescription index="0">Positional argument 1</x14:argumentDescription>
          </x14:argumentDescriptions>
        </x14:definedName>
        <x14:definedName name="acc2d_test_mult">
          <x14:argumentDescriptions count="1">
            <x14:argumentDescription index="0">Positional argument 1</x14:argumentDescription>
          </x14:argumentDescriptions>
        </x14:definedName>
        <x14:definedName name="best_combination">
          <x14:argumentDescriptions count="6">
            <x14:argumentDescription index="0">A matrix of derivatives n x k for n points and k parameters.</x14:argumentDescription>
            <x14:argumentDescription index="1">Vector of differences between the target and calculated values.</x14:argumentDescription>
            <x14:argumentDescription index="2">Vector of weights.</x14:argumentDescription>
            <x14:argumentDescription index="3">Binary vector indicating whether a parameter is active or frozen.</x14:argumentDescription>
            <x14:argumentDescription index="4">Vector of static contributions; considered only for frozen parameters.</x14:argumentDescription>
            <x14:argumentDescription index="5">Positional argument 6</x14:argumentDescription>
          </x14:argumentDescriptions>
        </x14:definedName>
        <x14:definedName name="ca_calculate">
          <x14:argumentDescriptions count="4">
            <x14:argumentDescription index="0">A file path to datafile in either open-access or protected format.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calculate_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dimensions">
          <x14:argumentDescriptions count="1">
            <x14:argumentDescription index="0">A datafile in either .DAT or .CST format</x14:argumentDescription>
          </x14:argumentDescriptions>
        </x14:definedName>
        <x14:definedName name="ca_get_compound_Cp">
          <x14:argumentDescriptions count="5">
            <x14:argumentDescription index="0">A file path to datafile in either open-access or protected format.</x14:argumentDescription>
            <x14:argumentDescription index="1">An array of compound names.</x14:argumentDescription>
            <x14:argumentDescription index="2">An array of Cp range indices.</x14:argumentDescription>
            <x14:argumentDescription index="3">An array of Cp coefficient indices. f = Cp[1]+Cp[2]*T+Cp[3]*T^2+Cp[4]/T^2+eCp[5]*T^Cp[6]+Cp[7]*T^Cp[8]+Cp[9]*T^Cp[10]</x14:argumentDescription>
            <x14:argumentDescription index="4">Any value; if changed, makes the formula to recalculate</x14:argumentDescription>
          </x14:argumentDescriptions>
        </x14:definedName>
        <x14:definedName name="ca_get_compound_CpTupper">
          <x14:argumentDescriptions count="4">
            <x14:argumentDescription index="0">A file path to datafile in either open-access or protected format.</x14:argumentDescription>
            <x14:argumentDescription index="1">A list of compound names.</x14:argumentDescription>
            <x14:argumentDescription index="2">Cp range indices.</x14:argumentDescription>
            <x14:argumentDescription index="3">Any value; if changed, makes the formula to recalculate.</x14:argumentDescription>
          </x14:argumentDescriptions>
        </x14:definedName>
        <x14:definedName name="ca_get_compound_H298">
          <x14:argumentDescriptions count="3">
            <x14:argumentDescription index="0">A file path to datafile in open-access format only.</x14:argumentDescription>
            <x14:argumentDescription index="1">An array with compound names</x14:argumentDescription>
            <x14:argumentDescription index="2">Any value; if changed, makes the formula to recalculate.</x14:argumentDescription>
          </x14:argumentDescriptions>
        </x14:definedName>
        <x14:definedName name="ca_get_compound_S298">
          <x14:argumentDescriptions count="3">
            <x14:argumentDescription index="0">A file path to datafile in open-access format only.</x14:argumentDescription>
            <x14:argumentDescription index="1">An array of compound names</x14:argumentDescription>
            <x14:argumentDescription index="2">Any value; if changed, makes the formula to recalculate</x14:argumentDescription>
          </x14:argumentDescriptions>
        </x14:definedName>
        <x14:definedName name="ca_get_compound_stoichiometry">
          <x14:argumentDescriptions count="2">
            <x14:argumentDescription index="0">A file path to datafile in either open-access or protected format.</x14:argumentDescription>
            <x14:argumentDescription index="1">An array of compound names.</x14:argumentDescription>
          </x14:argumentDescriptions>
        </x14:definedName>
        <x14:definedName name="ca_get_compound_weight">
          <x14:argumentDescriptions count="2">
            <x14:argumentDescription index="0">A file path to datafile in either open-access or protected format.</x14:argumentDescription>
            <x14:argumentDescription index="1">An array of compound names.</x14:argumentDescription>
          </x14:argumentDescriptions>
        </x14:definedName>
        <x14:definedName name="ca_get_constituent_Cp">
          <x14:argumentDescriptions count="6">
            <x14:argumentDescription index="0">A file path to datafile in either open-access or protected format.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Any value; if changed, makes the formula to recalculate</x14:argumentDescription>
          </x14:argumentDescriptions>
        </x14:definedName>
        <x14:definedName name="ca_get_constituent_CpTupper">
          <x14:argumentDescriptions count="5">
            <x14:argumentDescription index="0">A file path to datafile in either open-access or protected format.</x14:argumentDescription>
            <x14:argumentDescription index="1">A list of phase names.</x14:argumentDescription>
            <x14:argumentDescription index="2">A list of phase constituent names.</x14:argumentDescription>
            <x14:argumentDescription index="3">Positional argument 4</x14:argumentDescription>
            <x14:argumentDescription index="4">Any value; if changed, makes the formula to recalculate</x14:argumentDescription>
          </x14:argumentDescriptions>
        </x14:definedName>
        <x14:definedName name="ca_get_constituent_H298">
          <x14:argumentDescriptions count="4">
            <x14:argumentDescription index="0">A file path to datafile in open-access format only.</x14:argumentDescription>
            <x14:argumentDescription index="1">An array with phase names</x14:argumentDescription>
            <x14:argumentDescription index="2">An array with constituent names</x14:argumentDescription>
            <x14:argumentDescription index="3">Any value; if changed, makes the formula to recalculate</x14:argumentDescription>
          </x14:argumentDescriptions>
        </x14:definedName>
        <x14:definedName name="ca_get_constituent_S298">
          <x14:argumentDescriptions count="4">
            <x14:argumentDescription index="0">A file path to datafile in open-access format only.</x14:argumentDescription>
            <x14:argumentDescription index="1">Positional argument 2</x14:argumentDescription>
            <x14:argumentDescription index="2">Positional argument 3</x14:argumentDescription>
            <x14:argumentDescription index="3">Any value; if changed, makes the formula to recalculate.</x14:argumentDescription>
          </x14:argumentDescriptions>
        </x14:definedName>
        <x14:definedName name="ca_get_constituent_stoichiometry">
          <x14:argumentDescriptions count="3">
            <x14:argumentDescription index="0">A file path to datafile in either open-access or protected format.</x14:argumentDescription>
            <x14:argumentDescription index="1">An array of phase names.</x14:argumentDescription>
            <x14:argumentDescription index="2">An array of phase constituent names.</x14:argumentDescription>
          </x14:argumentDescriptions>
        </x14:definedName>
        <x14:definedName name="ca_get_constituent_weight">
          <x14:argumentDescriptions count="3">
            <x14:argumentDescription index="0">A file path to datafile in either open-access or protected format.</x14:argumentDescription>
            <x14:argumentDescription index="1">An array of phase names.</x14:argumentDescription>
            <x14:argumentDescription index="2">An array of phase constituent names.</x14:argumentDescription>
          </x14:argumentDescriptions>
        </x14:definedName>
        <x14:definedName name="ca_get_interaction_index">
          <x14:argumentDescriptions count="4">
            <x14:argumentDescription index="0">A file path to datafile in either open-access or protected format.</x14:argumentDescription>
            <x14:argumentDescription index="1">A phase name (solution</x14:argumentDescription>
            <x14:argumentDescription index="2">A list of interaction parameters.</x14:argumentDescription>
            <x14:argumentDescription index="3">Any value; if changed, makes the formula to recalculate.</x14:argumentDescription>
          </x14:argumentDescriptions>
        </x14:definedName>
        <x14:definedName name="ca_get_interaction_indices">
          <x14:argumentDescriptions count="4">
            <x14:argumentDescription index="0">A file path to datafile in either open-access or protected format.</x14:argumentDescription>
            <x14:argumentDescription index="1">A phase name (solution</x14:argumentDescription>
            <x14:argumentDescription index="2">A list of interaction parameters.</x14:argumentDescription>
            <x14:argumentDescription index="3">Any value; if changed, makes the formula to recalculate.</x14:argumentDescription>
          </x14:argumentDescriptions>
        </x14:definedName>
        <x14:definedName name="ca_get_interaction_parameters_g">
          <x14:argumentDescriptions count="5">
            <x14:argumentDescription index="0">A file path to datafile in either open-access or protected format.</x14:argumentDescription>
            <x14:argumentDescription index="1">An array of solution names.</x14:argumentDescription>
            <x14:argumentDescription index="2">An array of interaction parameters.</x14:argumentDescription>
            <x14:argumentDescription index="3">An array of value indices from 0 to 5.</x14:argumentDescription>
            <x14:argumentDescription index="4">Any value; if changed, makes the formula to recalculate.</x14:argumentDescription>
          </x14:argumentDescriptions>
        </x14:definedName>
        <x14:definedName name="ca_get_param_solution_g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ca_list_components">
          <x14:argumentDescriptions count="1">
            <x14:argumentDescription index="0">A file path to datafile in either open-access or protected format.</x14:argumentDescription>
          </x14:argumentDescriptions>
        </x14:definedName>
        <x14:definedName name="ca_list_compounds">
          <x14:argumentDescriptions count="2">
            <x14:argumentDescription index="0">A file path to datafile in either open-access or protected format.</x14:argumentDescription>
            <x14:argumentDescription index="1">A subsystem filter to limit the search criteria. Examples: "CaO-SiO2", "Ca2SiO4", "Al2O3-CaO-SiO2"</x14:argumentDescription>
          </x14:argumentDescriptions>
        </x14:definedName>
        <x14:definedName name="ca_list_constituents">
          <x14:argumentDescriptions count="3">
            <x14:argumentDescription index="0">A file path to datafile in either open-access or protected format.</x14:argumentDescription>
            <x14:argumentDescription index="1">An array of phases for each of these the constituents are to be retrieved.</x14:argumentDescription>
            <x14:argumentDescription index="2">A subsystem filter to limit the search criteria. Examples: "CaO-SiO2", "Ca2SiO4", "Al2O3-CaO-SiO2"</x14:argumentDescription>
          </x14:argumentDescriptions>
        </x14:definedName>
        <x14:definedName name="ca_list_interactions">
          <x14:argumentDescriptions count="2">
            <x14:argumentDescription index="0">A file path to datafile in the open-access format.</x14:argumentDescription>
            <x14:argumentDescription index="1">Name of a phase (solution).</x14:argumentDescription>
          </x14:argumentDescriptions>
        </x14:definedName>
        <x14:definedName name="ca_list_phases">
          <x14:argumentDescriptions count="2">
            <x14:argumentDescription index="0">A file path to datafile in either open-access or protected format.</x14:argumentDescription>
            <x14:argumentDescription index="1">A subsystem filter to limit the search criteria. Examples: "CaO-SiO2", "Ca2SiO4", "Al2O3-CaO-SiO2"</x14:argumentDescription>
          </x14:argumentDescriptions>
        </x14:definedName>
        <x14:definedName name="ca_list_solutions">
          <x14:argumentDescriptions count="2">
            <x14:argumentDescription index="0">A file path to datafile in either open-access or protected format.</x14:argumentDescription>
            <x14:argumentDescription index="1">A subsystem filter to limit the search criteria. Examples: "CaO-SiO2", "Ca2SiO4", "Al2O3-CaO-SiO2"</x14:argumentDescription>
          </x14:argumentDescriptions>
        </x14:definedName>
        <x14:definedName name="ca_list_species">
          <x14:argumentDescriptions count="2">
            <x14:argumentDescription index="0">A file path to datafile in either open-access or protected format.</x14:argumentDescription>
            <x14:argumentDescription index="1">A phase for each species are to be returned</x14:argumentDescription>
          </x14:argumentDescriptions>
        </x14:definedName>
        <x14:definedName name="ca_list_species_indices">
          <x14:argumentDescriptions count="2">
            <x14:argumentDescription index="0">A file path to datafile in either open-access or protected format.</x14:argumentDescription>
            <x14:argumentDescription index="1">A phase for each species indices are to be returned</x14:argumentDescription>
          </x14:argumentDescriptions>
        </x14:definedName>
        <x14:definedName name="ca_mcalculate_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phase_parameters">
          <x14:argumentDescriptions count="3">
            <x14:argumentDescription index="0">A file path to datafile in the open-access format.</x14:argumentDescription>
            <x14:argumentDescription index="1">Name of a phase (solution).</x14:argumentDescription>
            <x14:argumentDescription index="2">Type of excess parameters (optional); can be "G" (Gibbs energy) or "M" (magnetic). The default value is "G".</x14:argumentDescription>
          </x14:argumentDescriptions>
        </x14:definedName>
        <x14:definedName name="ca_set_compound_Cp">
          <x14:argumentDescriptions count="5">
            <x14:argumentDescription index="0">A file path to datafile in the open-access format.</x14:argumentDescription>
            <x14:argumentDescription index="1">An array of compound names.</x14:argumentDescription>
            <x14:argumentDescription index="2">An array or a matrix of new values.</x14:argumentDescription>
            <x14:argumentDescription index="3">An array of Cp range indices.</x14:argumentDescription>
            <x14:argumentDescription index="4">An array of coefficient indices from 1 to 10; 0 for all of them.</x14:argumentDescription>
          </x14:argumentDescriptions>
        </x14:definedName>
        <x14:definedName name="ca_set_compound_H298">
          <x14:argumentDescriptions count="4">
            <x14:argumentDescription index="0">A file path to datafile in the open-access format.</x14:argumentDescription>
            <x14:argumentDescription index="1">A list of compound names.</x14:argumentDescription>
            <x14:argumentDescription index="2">A list of new H298 values.</x14:argumentDescription>
            <x14:argumentDescription index="3">The function with overwrite the old values only if set to TRUE.</x14:argumentDescription>
          </x14:argumentDescriptions>
        </x14:definedName>
        <x14:definedName name="ca_set_compound_S298">
          <x14:argumentDescriptions count="4">
            <x14:argumentDescription index="0">A file path to datafile in either open-access or protected format.</x14:argumentDescription>
            <x14:argumentDescription index="1">An array of compound names.</x14:argumentDescription>
            <x14:argumentDescription index="2">An array of new S298 values.</x14:argumentDescription>
            <x14:argumentDescription index="3">Positional argument 4</x14:argumentDescription>
          </x14:argumentDescriptions>
        </x14:definedName>
        <x14:definedName name="ca_set_constituent_Cp">
          <x14:argumentDescriptions count="6">
            <x14:argumentDescription index="0">A file path to datafile in the open-access format.</x14:argumentDescription>
            <x14:argumentDescription index="1">An array of solution names.</x14:argumentDescription>
            <x14:argumentDescription index="2">An array of phase constituent names.</x14:argumentDescription>
            <x14:argumentDescription index="3">An array or a matrix of new values.</x14:argumentDescription>
            <x14:argumentDescription index="4">An array of Cp range indices.</x14:argumentDescription>
            <x14:argumentDescription index="5">An array of coefficient indices from 1 to 10; 0 for all of them.</x14:argumentDescription>
          </x14:argumentDescriptions>
        </x14:definedName>
        <x14:definedName name="ca_set_constituent_H298">
          <x14:argumentDescriptions count="5">
            <x14:argumentDescription index="0">A file path to datafile in the open-access format.</x14:argumentDescription>
            <x14:argumentDescription index="1">A list of phase names</x14:argumentDescription>
            <x14:argumentDescription index="2">A list of constituent names.</x14:argumentDescription>
            <x14:argumentDescription index="3">A list of new H298 values.</x14:argumentDescription>
            <x14:argumentDescription index="4">The function with overwrite the old values only if set to TRUE.</x14:argumentDescription>
          </x14:argumentDescriptions>
        </x14:definedName>
        <x14:definedName name="ca_set_constituent_S298">
          <x14:argumentDescriptions count="5">
            <x14:argumentDescription index="0">A file path to datafile in the open-access format.</x14:argumentDescription>
            <x14:argumentDescription index="1">A list of phase names.</x14:argumentDescription>
            <x14:argumentDescription index="2">A list of compound names.</x14:argumentDescription>
            <x14:argumentDescription index="3">A list of new H298 values.</x14:argumentDescription>
            <x14:argumentDescription index="4">The function with overwrite the old values only if set to TRUE.</x14:argumentDescription>
          </x14:argumentDescriptions>
        </x14:definedName>
        <x14:definedName name="ca_set_interaction_parameters_g">
          <x14:argumentDescriptions count="6">
            <x14:argumentDescription index="0">A file path to datafile in either open-access or protected format.</x14:argumentDescription>
            <x14:argumentDescription index="1">An array of solution names.</x14:argumentDescription>
            <x14:argumentDescription index="2">An array of interactions.</x14:argumentDescription>
            <x14:argumentDescription index="3">An array of new parameter values.</x14:argumentDescription>
            <x14:argumentDescription index="4">An array of coefficient indices from 0 to 5.</x14:argumentDescription>
            <x14:argumentDescription index="5">Optional argument, turns off updating if set to FALSE.</x14:argumentDescription>
          </x14:argumentDescriptions>
        </x14:definedName>
        <x14:definedName name="ca_set_param_solution_g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stoichiometry_compou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alculate_binary">
          <x14:argumentDescriptions count="6">
            <x14:argumentDescription index="0">path to a datafile.</x14:argumentDescription>
            <x14:argumentDescription index="1">first endmember.</x14:argumentDescription>
            <x14:argumentDescription index="2">second endmember.</x14:argumentDescription>
            <x14:argumentDescription index="3">.</x14:argumentDescription>
            <x14:argumentDescription index="4">.</x14:argumentDescription>
            <x14:argumentDescription index="5">.</x14:argumentDescription>
          </x14:argumentDescriptions>
        </x14:definedName>
        <x14:definedName name="change_range">
          <x14:argumentDescriptions count="1">
            <x14:argumentDescription index="0">Positional argument 1</x14:argumentDescription>
          </x14:argumentDescriptions>
        </x14:definedName>
        <x14:definedName name="chemsage_compare_constituents">
          <x14:argumentDescriptions count="1">
            <x14:argumentDescription index="3">Positional argument 4</x14:argumentDescription>
          </x14:argumentDescriptions>
        </x14:definedName>
        <x14:definedName name="condition_number">
          <x14:argumentDescriptions count="2">
            <x14:argumentDescription index="0">Input matrix.</x14:argumentDescription>
            <x14:argumentDescription index="1">Positional argument 2</x14:argumentDescription>
          </x14:argumentDescriptions>
        </x14:definedName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data_change_basis">
          <x14:argumentDescriptions count="7">
            <x14:argumentDescription index="0">Initial formula basis</x14:argumentDescription>
            <x14:argumentDescription index="1">Resulting formula basis</x14:argumentDescription>
            <x14:argumentDescription index="2">table with compositions</x14:argumentDescription>
            <x14:argumentDescription index="3">TRUE if the initial compositions are in weight fraction basis, the default value is FALSE.</x14:argumentDescription>
            <x14:argumentDescription index="4">TRUE if the final compositions should be in weight fraction basis, the default value is FALSE.</x14:argumentDescription>
            <x14:argumentDescription index="5">TRUE if the final compositions have to be normalized to one (molar/weight fractions instead of amounts). The default value is FALSE.</x14:argumentDescription>
            <x14:argumentDescription index="6">Positional argument 7</x14:argumentDescription>
          </x14:argumentDescriptions>
        </x14:definedName>
        <x14:definedName name="data_checksum_md5">
          <x14:argumentDescriptions count="1">
            <x14:argumentDescription index="0">Positional argument 1</x14:argumentDescription>
          </x14:argumentDescriptions>
        </x14:definedName>
        <x14:definedName name="data_checksum_md5_array">
          <x14:argumentDescriptions count="1">
            <x14:argumentDescription index="0">Positional argument 1</x14:argumentDescription>
          </x14:argumentDescriptions>
        </x14:definedName>
        <x14:definedName name="data_checksum_md5_set">
          <x14:argumentDescriptions count="1">
            <x14:argumentDescription index="0">Positional argument 1</x14:argumentDescription>
          </x14:argumentDescriptions>
        </x14:definedName>
        <x14:definedName name="data_derivativ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ata_generate_mesh">
          <x14:argumentDescriptions count="3">
            <x14:argumentDescription index="0">Number of points in each dimension.</x14:argumentDescription>
            <x14:argumentDescription index="1">Number of components changing composition. The default value is 2.</x14:argumentDescription>
            <x14:argumentDescription index="2">Total number of components (changing and not changing composition).</x14:argumentDescription>
          </x14:argumentDescriptions>
        </x14:definedName>
        <x14:definedName name="data_hash_native">
          <x14:argumentDescriptions count="1">
            <x14:argumentDescription index="0">Positional argument 1</x14:argumentDescription>
          </x14:argumentDescriptions>
        </x14:definedName>
        <x14:definedName name="data_in_syste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ata_interp1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ata_isotherm_compositio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ata_isotherms_to_uni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ata_stable_phases">
          <x14:argumentDescriptions count="1">
            <x14:argumentDescription index="0">Positional argument 1</x14:argumentDescription>
          </x14:argumentDescriptions>
        </x14:definedName>
        <x14:definedName name="data_triangulation_containing_point">
          <x14:argumentDescriptions count="1">
            <x14:argumentDescription index="1">Positional argument 2</x14:argumentDescription>
          </x14:argumentDescriptions>
        </x14:definedName>
        <x14:definedName name="dynamic_array">
          <x14:argumentDescriptions count="2">
            <x14:argumentDescription index="0">Number of rows</x14:argumentDescription>
            <x14:argumentDescription index="1">Number of columns</x14:argumentDescription>
          </x14:argumentDescriptions>
        </x14:definedName>
        <x14:definedName name="einstei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compare_compounds">
          <x14:argumentDescriptions count="1">
            <x14:argumentDescription index="2">Positional argument 3</x14:argumentDescription>
          </x14:argumentDescriptions>
        </x14:definedName>
        <x14:definedName name="factsage_compare_solution_endmembers">
          <x14:argumentDescriptions count="1">
            <x14:argumentDescription index="2">Positional argument 3</x14:argumentDescription>
          </x14:argumentDescriptions>
        </x14:definedName>
        <x14:definedName name="factsage_compare_solution_exceptions">
          <x14:argumentDescriptions count="1">
            <x14:argumentDescription index="2">Positional argument 3</x14:argumentDescription>
          </x14:argumentDescriptions>
        </x14:definedName>
        <x14:definedName name="factsage_compare_solution_interactions">
          <x14:argumentDescriptions count="2"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actsage_compare_solution_quadruplets">
          <x14:argumentDescriptions count="1">
            <x14:argumentDescription index="2">Positional argument 3</x14:argumentDescription>
          </x14:argumentDescriptions>
        </x14:definedName>
        <x14:definedName name="factsage_get_compound_H298">
          <x14:argumentDescriptions count="1">
            <x14:argumentDescription index="2">Positional argument 3</x14:argumentDescription>
          </x14:argumentDescriptions>
        </x14:definedName>
        <x14:definedName name="factsage_get_compound_S298">
          <x14:argumentDescriptions count="1">
            <x14:argumentDescription index="2">Positional argument 3</x14:argumentDescription>
          </x14:argumentDescriptions>
        </x14:definedName>
        <x14:definedName name="factsage_list_solution_endmember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list_solution_exception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list_solution_interaction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list_solution_quadruplet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set_compound_H298">
          <x14:argumentDescriptions count="1">
            <x14:argumentDescription index="3">Positional argument 4</x14:argumentDescription>
          </x14:argumentDescriptions>
        </x14:definedName>
        <x14:definedName name="factsage_set_compound_S298">
          <x14:argumentDescriptions count="1">
            <x14:argumentDescription index="3">Positional argument 4</x14:argumentDescription>
          </x14:argumentDescriptions>
        </x14:definedName>
        <x14:definedName name="factsage_write_parameters">
          <x14:argumentDescriptions count="1">
            <x14:argumentDescription index="7">Positional argument 8</x14:argumentDescription>
          </x14:argumentDescriptions>
        </x14:definedName>
        <x14:definedName name="file_read">
          <x14:argumentDescriptions count="4">
            <x14:argumentDescription index="0">Positional argument 1</x14:argumentDescription>
            <x14:argumentDescription index="1">An array with line numbers.</x14:argumentDescription>
            <x14:argumentDescription index="2">An array with column numbers (offsets).</x14:argumentDescription>
            <x14:argumentDescription index="3">An array with lengths (number of characters to read).</x14:argumentDescription>
          </x14:argumentDescriptions>
        </x14:definedName>
        <x14:definedName name="file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e_write">
          <x14:argumentDescriptions count="4">
            <x14:argumentDescription index="0">Positional argument 1</x14:argumentDescription>
            <x14:argumentDescription index="1">An array of line numbers.</x14:argumentDescription>
            <x14:argumentDescription index="2">An array of column numbers.</x14:argumentDescription>
            <x14:argumentDescription index="3">An array of numeric values.</x14:argumentDescription>
          </x14:argumentDescriptions>
        </x14:definedName>
        <x14:definedName name="get_caller_address">
          <x14:argumentDescriptions count="1">
            <x14:argumentDescription index="0">Positional argument 1</x14:argumentDescription>
          </x14:argumentDescriptions>
        </x14:definedName>
        <x14:definedName name="gl_add_one">
          <x14:argumentDescriptions count="1">
            <x14:argumentDescription index="0">Positional argument 1</x14:argumentDescription>
          </x14:argumentDescriptions>
        </x14:definedName>
        <x14:definedName name="gl_double">
          <x14:argumentDescriptions count="1">
            <x14:argumentDescription index="0">Positional argument 1</x14:argumentDescription>
          </x14:argumentDescriptions>
        </x14:definedName>
        <x14:definedName name="gl_dynamic_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l_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l_subsystem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r_plot_grap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near_regression">
          <x14:argumentDescriptions count="5">
            <x14:argumentDescription index="0">A matrix of derivatives n x k for n points and k parameters.</x14:argumentDescription>
            <x14:argumentDescription index="1">Vector of differences between the target and calculated values.</x14:argumentDescription>
            <x14:argumentDescription index="2">Vector of weights.</x14:argumentDescription>
            <x14:argumentDescription index="3">Binary vector indicating whether a parameter is active or frozen.</x14:argumentDescription>
            <x14:argumentDescription index="4">Vector of static contributions; considered only for frozen parameters.</x14:argumentDescription>
          </x14:argumentDescriptions>
        </x14:definedName>
        <x14:definedName name="linop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nsp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nspace_open">
          <x14:argumentDescriptions count="4">
            <x14:argumentDescription index="0">The first value.</x14:argumentDescription>
            <x14:argumentDescription index="1">Positional argument 2</x14:argumentDescription>
            <x14:argumentDescription index="2">The second value.</x14:argumentDescription>
            <x14:argumentDescription index="3">Positional argument 4</x14:argumentDescription>
          </x14:argumentDescriptions>
        </x14:definedName>
        <x14:definedName name="mathutils_update_inverse_matrix">
          <x14:argumentDescriptions count="1">
            <x14:argumentDescription index="2">Positional argument 3</x14:argumentDescription>
          </x14:argumentDescriptions>
        </x14:definedName>
        <x14:definedName name="pd_looku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d_pivot_count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max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mean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min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rms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sum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_figure_to_char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l_get_symbols_abc">
          <x14:argumentDescriptions count="1">
            <x14:argumentDescription index="0">Positional argument 1</x14:argumentDescription>
          </x14:argumentDescriptions>
        </x14:definedName>
        <x14:definedName name="pl_get_symbols_xy">
          <x14:argumentDescriptions count="1">
            <x14:argumentDescription index="0">Positional argument 1</x14:argumentDescription>
          </x14:argumentDescriptions>
        </x14:definedName>
        <x14:definedName name="pl_import_figur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_import_figure_pivot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_plo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l_scatter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l_set_limi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_data">
          <x14:argumentDescriptions count="3">
            <x14:argumentDescription index="0">the name of an Excel chart.</x14:argumentDescription>
            <x14:argumentDescription index="1">table with data.</x14:argumentDescription>
            <x14:argumentDescription index="2">settings of lines, markers, etc.</x14:argumentDescription>
          </x14:argumentDescriptions>
        </x14:definedName>
        <x14:definedName name="rank_parameter_se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elect_parameter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alculate">
          <x14:argumentDescriptions count="4">
            <x14:argumentDescription index="0">A file path to datafile in either open-access or protected format.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sgmx_compound_C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ompound_G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ompound_H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ompound_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ignificant_targe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ingle_values">
          <x14:argumentDescriptions count="1">
            <x14:argumentDescription index="0">Positional argument 1</x14:argumentDescription>
          </x14:argumentDescriptions>
        </x14:definedName>
        <x14:definedName name="stat_shapiro">
          <x14:argumentDescriptions count="1">
            <x14:argumentDescription index="0">Positional argument 1</x14:argumentDescription>
          </x14:argumentDescriptions>
        </x14:definedName>
        <x14:definedName name="stat_ttest_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l_check_endnote">
          <x14:argumentDescriptions count="1">
            <x14:argumentDescription index="0">Positional argument 1</x14:argumentDescription>
          </x14:argumentDescriptions>
        </x14:definedName>
        <x14:definedName name="xl_count_compositio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l_count_compositions_elements">
          <x14:argumentDescriptions count="1">
            <x14:argumentDescription index="0">Positional argument 1</x14:argumentDescription>
          </x14:argumentDescriptions>
        </x14:definedName>
        <x14:definedName name="xl_fetch_composition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insert_endno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xl_insert_phas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e6_2" name="Table6_2" connection="WorksheetConnection_OPT_CA_.xlsm!Table6_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4" l="1" a="1"/>
  <c r="H10" i="3" a="1"/>
  <c r="H10" i="4" l="1"/>
  <c r="H1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B1AA6C-44CF-44B8-BB82-A2B25236A399}" keepAlive="1" name="Query - Table_pgcon3" description="Connection to the 'Table_pgcon3' query in the workbook." type="5" refreshedVersion="6" background="1" saveData="1">
    <dbPr connection="Provider=Microsoft.Mashup.OleDb.1;Data Source=$Workbook$;Location=Table_pgcon3;Extended Properties=&quot;&quot;" command="SELECT * FROM [Table_pgcon3]"/>
  </connection>
  <connection id="2" xr16:uid="{EA20824D-3101-4E01-8018-3C5D69309DC3}" keepAlive="1" name="Query - Table_pgcon3 (2)" description="Connection to the 'Table_pgcon3 (2)' query in the workbook." type="5" refreshedVersion="6" background="1" saveData="1">
    <dbPr connection="Provider=Microsoft.Mashup.OleDb.1;Data Source=$Workbook$;Location=&quot;Table_pgcon3 (2)&quot;;Extended Properties=&quot;&quot;" command="SELECT * FROM [Table_pgcon3 (2)]"/>
  </connection>
  <connection id="3" xr16:uid="{AF134A5B-1629-408A-9230-F3D8D7251850}" keepAlive="1" name="Query - Table_pgcon3 (3)" description="Connection to the 'Table_pgcon3 (3)' query in the workbook." type="5" refreshedVersion="6" background="1" saveData="1">
    <dbPr connection="Provider=Microsoft.Mashup.OleDb.1;Data Source=$Workbook$;Location=&quot;Table_pgcon3 (3)&quot;;Extended Properties=&quot;&quot;" command="SELECT * FROM [Table_pgcon3 (3)]"/>
  </connection>
  <connection id="4" xr16:uid="{A868DFE7-AF5B-4480-BE11-DBDE80467237}" keepAlive="1" name="Query - Table5" description="Connection to the 'Table5' query in the workbook." type="5" refreshedVersion="0" background="1" saveData="1">
    <dbPr connection="Provider=Microsoft.Mashup.OleDb.1;Data Source=$Workbook$;Location=Table5;Extended Properties=&quot;&quot;" command="SELECT * FROM [Table5]"/>
  </connection>
  <connection id="5" xr16:uid="{C0AC8D76-9949-4FF8-80B9-7E824D58BC51}" keepAlive="1" name="Query - Table5 (2)" description="Connection to the 'Table5 (2)' query in the workbook." type="5" refreshedVersion="6" background="1" saveData="1">
    <dbPr connection="Provider=Microsoft.Mashup.OleDb.1;Data Source=$Workbook$;Location=&quot;Table5 (2)&quot;;Extended Properties=&quot;&quot;" command="SELECT * FROM [Table5 (2)]"/>
  </connection>
  <connection id="6" xr16:uid="{3400965C-CAC8-4AF8-BBBD-F7E4DF9199EF}" keepAlive="1" name="Query - Table6" description="Connection to the 'Table6' query in the workbook." type="5" refreshedVersion="6" background="1" saveData="1">
    <dbPr connection="Provider=Microsoft.Mashup.OleDb.1;Data Source=$Workbook$;Location=Table6;Extended Properties=&quot;&quot;" command="SELECT * FROM [Table6]"/>
  </connection>
  <connection id="7" xr16:uid="{9B18CFBC-002D-4282-BBAC-717E3F1A4D38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B53F6C6-30E8-4508-B70D-2740332EF269}" name="WorksheetConnection_OPT_CA_.xlsm!Table6_2" type="102" refreshedVersion="6" minRefreshableVersion="5">
    <extLst>
      <ext xmlns:x15="http://schemas.microsoft.com/office/spreadsheetml/2010/11/main" uri="{DE250136-89BD-433C-8126-D09CA5730AF9}">
        <x15:connection id="Table6_2">
          <x15:rangePr sourceName="_xlcn.WorksheetConnection_OPT_CA_.xlsmTable6_2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<sst xmlns="http://schemas.openxmlformats.org/spreadsheetml/2006/main" count="25" uniqueCount="23">
  <si>
    <t>PYTHONPATH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</si>
  <si>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</si>
  <si>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</si>
  <si>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</si>
  <si>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</si>
  <si>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</si>
  <si>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</si>
  <si>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</si>
  <si>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</si>
  <si>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</si>
  <si>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</si>
  <si>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</si>
  <si>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</si>
  <si>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</si>
  <si>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c:\Python\version311_x64\python.exe</t>
  </si>
  <si>
    <t>factsage_compound</t>
  </si>
  <si>
    <t>c:\_WORK\Code\factsage-compound\examples\FTOXBASE.CDB</t>
  </si>
  <si>
    <t>c:\_WORK\Code\factsage-compound\examples\PYROBASE.CDB</t>
  </si>
  <si>
    <t>TRIGGER</t>
  </si>
  <si>
    <t>LEFT</t>
  </si>
  <si>
    <t>RIGHT</t>
  </si>
  <si>
    <t>Replace with the actual filepaths</t>
  </si>
  <si>
    <t>Replace with the actual filepath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</si>
</sst>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3" fillId="0" borderId="1" xfId="0" applyFont="1" applyBorder="1"/>
    <xf numFmtId="0" fontId="4" fillId="0" borderId="0" xfId="0" applyFont="1"/>
  </cellXfs>
  <cellStyles count="3">
    <cellStyle name="Normal" xfId="0" builtinId="0"/>
    <cellStyle name="Normal 2" xfId="1" xr:uid="{C7912330-A606-4EA3-AD40-F0382C976096}"/>
    <cellStyle name="Normal 3 2" xfId="2" xr:uid="{294641AA-4E2E-471F-B53C-873039ACD8ED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0000FF"/>
      <color rgb="FFF6C0C0"/>
      <color rgb="FFFF5D5D"/>
      <color rgb="FFF58383"/>
      <color rgb="FFFFFFCC"/>
      <color rgb="FFF913DE"/>
      <color rgb="FFF24C4C"/>
      <color rgb="FFE99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Optimization/Optimization.xlsm" TargetMode="External"/><Relationship Id="rId1" Type="http://schemas.openxmlformats.org/officeDocument/2006/relationships/externalLinkPath" Target="/_WORK/Optimization/Optim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xlwings.conf"/>
      <sheetName val="Search"/>
      <sheetName val="Data"/>
      <sheetName val="Tern"/>
      <sheetName val="Cp ZnO"/>
      <sheetName val="CaO-ZnO-SiO2 PD"/>
      <sheetName val="compare_databases"/>
      <sheetName val="CaO-SiO2 H,S"/>
      <sheetName val="CaO-SiO2 PD"/>
      <sheetName val="CaO-SiO2 HC"/>
      <sheetName val="CaO-SiO2 Cp"/>
      <sheetName val="CaO-ZnO PD"/>
      <sheetName val="ZnO-SiO2 PD"/>
      <sheetName val="ZnO-SiO2 H,S"/>
      <sheetName val="CaO-SiO2 ACT"/>
      <sheetName val="matrix1"/>
      <sheetName val="test"/>
      <sheetName val="derivatives"/>
      <sheetName val="derivatives Na2O-SiO2"/>
      <sheetName val="matrix2"/>
      <sheetName val="opt"/>
      <sheetName val="CaO-SiO2 PD1"/>
      <sheetName val="Optimization"/>
    </sheetNames>
    <sheetDataSet>
      <sheetData sheetId="0"/>
      <sheetData sheetId="1"/>
      <sheetData sheetId="2">
        <row r="6">
          <cell r="AT6" t="str">
            <v>_111_Figure_2</v>
          </cell>
          <cell r="HC6" t="str">
            <v>_2764_Figure_6</v>
          </cell>
          <cell r="HD6" t="str">
            <v>CaO-MgO melting PD</v>
          </cell>
        </row>
        <row r="7">
          <cell r="AT7" t="str">
            <v>wt% CaO</v>
          </cell>
          <cell r="AU7" t="str">
            <v>T, C</v>
          </cell>
          <cell r="AV7" t="str">
            <v>equilibrium</v>
          </cell>
          <cell r="HC7" t="str">
            <v>Compound</v>
          </cell>
          <cell r="HD7" t="str">
            <v>Tmelt, C</v>
          </cell>
        </row>
        <row r="8">
          <cell r="AT8">
            <v>65.111999999999995</v>
          </cell>
          <cell r="AU8">
            <v>2130.58</v>
          </cell>
          <cell r="AV8" t="str">
            <v>Ca2SiO4 liquidus</v>
          </cell>
          <cell r="HC8" t="str">
            <v>CaO</v>
          </cell>
          <cell r="HD8">
            <v>2908.67</v>
          </cell>
        </row>
        <row r="9">
          <cell r="AT9">
            <v>67.509200000000007</v>
          </cell>
          <cell r="AU9">
            <v>2089.19</v>
          </cell>
          <cell r="AV9" t="str">
            <v>Ca2SiO4 liquidus</v>
          </cell>
        </row>
        <row r="10">
          <cell r="AT10">
            <v>68.502499999999998</v>
          </cell>
          <cell r="AU10">
            <v>2070.91</v>
          </cell>
          <cell r="AV10" t="str">
            <v>Ca2SiO4 liquidus</v>
          </cell>
        </row>
        <row r="11">
          <cell r="AT11">
            <v>69.151200000000003</v>
          </cell>
          <cell r="AU11">
            <v>2059.41</v>
          </cell>
          <cell r="AV11" t="str">
            <v>Ca2SiO4 liquidus</v>
          </cell>
        </row>
        <row r="12">
          <cell r="AT12">
            <v>69.714299999999994</v>
          </cell>
          <cell r="AU12">
            <v>2059.25</v>
          </cell>
          <cell r="AV12" t="str">
            <v>Ca3SiO5 liquidus</v>
          </cell>
        </row>
        <row r="13">
          <cell r="AT13">
            <v>70.2577</v>
          </cell>
          <cell r="AU13">
            <v>2069.6999999999998</v>
          </cell>
          <cell r="AV13" t="str">
            <v>Ca3SiO5 liquidus</v>
          </cell>
        </row>
        <row r="14">
          <cell r="AT14">
            <v>70.752399999999994</v>
          </cell>
          <cell r="AU14">
            <v>2064.85</v>
          </cell>
          <cell r="AV14" t="str">
            <v>Ca3SiO5 liquidus</v>
          </cell>
        </row>
        <row r="15">
          <cell r="AT15">
            <v>71.490600000000001</v>
          </cell>
          <cell r="AU15">
            <v>2068.7399999999998</v>
          </cell>
          <cell r="AV15" t="str">
            <v>Ca3SiO5 liquidus</v>
          </cell>
        </row>
        <row r="16">
          <cell r="AT16">
            <v>71.989199999999997</v>
          </cell>
          <cell r="AU16">
            <v>2089.06</v>
          </cell>
          <cell r="AV16" t="str">
            <v>CaO liquidus</v>
          </cell>
        </row>
        <row r="17">
          <cell r="AT17">
            <v>73.715000000000003</v>
          </cell>
          <cell r="AU17">
            <v>2156</v>
          </cell>
          <cell r="AV17" t="str">
            <v>CaO liquidus</v>
          </cell>
        </row>
        <row r="18">
          <cell r="AT18">
            <v>67.515600000000006</v>
          </cell>
          <cell r="AU18">
            <v>2049.7199999999998</v>
          </cell>
          <cell r="AV18" t="str">
            <v>Ca2SiO4-Ca3SiO5 eutectic</v>
          </cell>
        </row>
        <row r="19">
          <cell r="AT19">
            <v>68.507900000000006</v>
          </cell>
          <cell r="AU19">
            <v>2049.8000000000002</v>
          </cell>
          <cell r="AV19" t="str">
            <v>Ca2SiO4-Ca3SiO5 eutectic</v>
          </cell>
        </row>
        <row r="20">
          <cell r="AT20">
            <v>69.152799999999999</v>
          </cell>
          <cell r="AU20">
            <v>2049.8200000000002</v>
          </cell>
          <cell r="AV20" t="str">
            <v>Ca2SiO4-Ca3SiO5 eutectic</v>
          </cell>
        </row>
        <row r="21">
          <cell r="AT21">
            <v>69.718199999999996</v>
          </cell>
          <cell r="AU21">
            <v>2049.66</v>
          </cell>
          <cell r="AV21" t="str">
            <v>Ca2SiO4-Ca3SiO5 eutectic</v>
          </cell>
        </row>
        <row r="22">
          <cell r="AT22">
            <v>70.272199999999998</v>
          </cell>
          <cell r="AU22">
            <v>2049.9699999999998</v>
          </cell>
          <cell r="AV22" t="str">
            <v>Ca2SiO4-Ca3SiO5 eutectic</v>
          </cell>
        </row>
        <row r="23">
          <cell r="AT23">
            <v>70.742199999999997</v>
          </cell>
          <cell r="AU23">
            <v>2049.92</v>
          </cell>
          <cell r="AV23" t="str">
            <v>Ca2SiO4-Ca3SiO5 eutectic</v>
          </cell>
        </row>
        <row r="24">
          <cell r="AT24">
            <v>71.496099999999998</v>
          </cell>
          <cell r="AU24">
            <v>2049.83</v>
          </cell>
          <cell r="AV24" t="str">
            <v>Ca2SiO4-Ca3SiO5 eutectic</v>
          </cell>
        </row>
        <row r="25">
          <cell r="AT25">
            <v>72.034300000000002</v>
          </cell>
          <cell r="AU25">
            <v>2050.0500000000002</v>
          </cell>
          <cell r="AV25" t="str">
            <v>Ca2SiO4-Ca3SiO5 eutectic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C6E9-7A1B-4ED9-BDA8-C37111A47D77}">
  <sheetPr codeName="Sheet1"/>
  <dimension ref="A1:F35"/>
  <sheetViews>
    <sheetView workbookViewId="0">
      <selection activeCell="B7" sqref="B7"/>
    </sheetView>
  </sheetViews>
  <sheetFormatPr defaultRowHeight="14.5" x14ac:dyDescent="0.35"/>
  <cols>
    <col min="1" max="1" width="24" customWidth="1"/>
    <col min="2" max="2" width="68.453125" bestFit="1" customWidth="1"/>
  </cols>
  <sheetData>
    <row r="1" spans="1:6" x14ac:dyDescent="0.35">
      <c r="A1" s="1" t="s">
        <v>1</v>
      </c>
      <c r="B1" s="1" t="s">
        <v>14</v>
      </c>
      <c r="C1" s="1"/>
      <c r="D1" s="1"/>
      <c r="E1" s="1"/>
      <c r="F1" s="1"/>
    </row>
    <row r="2" spans="1:6" x14ac:dyDescent="0.35">
      <c r="A2" s="1" t="s">
        <v>2</v>
      </c>
      <c r="B2" s="1"/>
      <c r="C2" s="1"/>
      <c r="D2" s="1"/>
      <c r="E2" s="1"/>
      <c r="F2" s="1"/>
    </row>
    <row r="3" spans="1:6" x14ac:dyDescent="0.35">
      <c r="A3" s="1" t="s">
        <v>0</v>
      </c>
      <c r="B3" s="1"/>
      <c r="C3" s="1"/>
      <c r="D3" s="1"/>
      <c r="E3" s="1"/>
      <c r="F3" s="1"/>
    </row>
    <row r="4" spans="1:6" x14ac:dyDescent="0.35">
      <c r="A4" s="1" t="s">
        <v>3</v>
      </c>
      <c r="B4" s="1"/>
      <c r="C4" s="1"/>
      <c r="D4" s="1"/>
      <c r="E4" s="1"/>
      <c r="F4" s="1"/>
    </row>
    <row r="5" spans="1:6" x14ac:dyDescent="0.35">
      <c r="A5" s="1" t="s">
        <v>4</v>
      </c>
      <c r="B5" s="1"/>
      <c r="C5" s="1"/>
      <c r="D5" s="1"/>
      <c r="E5" s="1"/>
      <c r="F5" s="1"/>
    </row>
    <row r="6" spans="1:6" x14ac:dyDescent="0.35">
      <c r="A6" s="1" t="s">
        <v>5</v>
      </c>
      <c r="B6" s="1" t="s">
        <v>15</v>
      </c>
      <c r="C6" s="1"/>
      <c r="D6" s="1"/>
      <c r="E6" s="1"/>
      <c r="F6" s="1"/>
    </row>
    <row r="7" spans="1:6" x14ac:dyDescent="0.35">
      <c r="A7" s="1" t="s">
        <v>6</v>
      </c>
      <c r="B7" s="1" t="b">
        <v>0</v>
      </c>
      <c r="C7" s="1"/>
      <c r="D7" s="1"/>
      <c r="E7" s="1"/>
      <c r="F7" s="1"/>
    </row>
    <row r="8" spans="1:6" x14ac:dyDescent="0.35">
      <c r="A8" s="1" t="s">
        <v>7</v>
      </c>
      <c r="B8" s="1" t="b">
        <v>1</v>
      </c>
      <c r="C8" s="1"/>
      <c r="D8" s="1"/>
      <c r="E8" s="1"/>
      <c r="F8" s="1"/>
    </row>
    <row r="9" spans="1:6" x14ac:dyDescent="0.35">
      <c r="A9" s="1" t="s">
        <v>8</v>
      </c>
      <c r="B9" s="1" t="b">
        <v>1</v>
      </c>
      <c r="C9" s="1"/>
      <c r="D9" s="1"/>
      <c r="E9" s="1"/>
      <c r="F9" s="1"/>
    </row>
    <row r="10" spans="1:6" x14ac:dyDescent="0.35">
      <c r="A10" s="1"/>
      <c r="B10" s="1"/>
      <c r="C10" s="1"/>
      <c r="D10" s="1"/>
      <c r="E10" s="1"/>
      <c r="F10" s="1"/>
    </row>
    <row r="11" spans="1:6" x14ac:dyDescent="0.35">
      <c r="A11" s="1"/>
      <c r="B11" s="1"/>
      <c r="C11" s="1"/>
      <c r="D11" s="1"/>
      <c r="E11" s="1"/>
      <c r="F11" s="1"/>
    </row>
    <row r="12" spans="1:6" x14ac:dyDescent="0.35">
      <c r="A12" s="1"/>
      <c r="B12" s="1"/>
      <c r="C12" s="1"/>
      <c r="D12" s="1"/>
      <c r="E12" s="1"/>
      <c r="F12" s="1"/>
    </row>
    <row r="13" spans="1:6" x14ac:dyDescent="0.35">
      <c r="A13" s="1"/>
      <c r="B13" s="1"/>
      <c r="C13" s="1"/>
      <c r="D13" s="1"/>
      <c r="E13" s="1"/>
      <c r="F13" s="1"/>
    </row>
    <row r="14" spans="1:6" x14ac:dyDescent="0.35">
      <c r="A14" s="1"/>
      <c r="B14" s="1"/>
      <c r="C14" s="1"/>
      <c r="D14" s="1"/>
      <c r="E14" s="1"/>
      <c r="F14" s="1"/>
    </row>
    <row r="15" spans="1:6" x14ac:dyDescent="0.35">
      <c r="A15" s="1"/>
      <c r="B15" s="1"/>
      <c r="C15" s="1"/>
      <c r="D15" s="1"/>
      <c r="E15" s="1"/>
      <c r="F15" s="1"/>
    </row>
    <row r="16" spans="1:6" x14ac:dyDescent="0.35">
      <c r="A16" s="1"/>
      <c r="B16" s="1"/>
      <c r="C16" s="1"/>
      <c r="D16" s="1"/>
      <c r="E16" s="1"/>
      <c r="F16" s="1"/>
    </row>
    <row r="17" spans="1:6" x14ac:dyDescent="0.35">
      <c r="A17" s="1"/>
      <c r="B17" s="1"/>
      <c r="C17" s="1"/>
      <c r="D17" s="1"/>
      <c r="E17" s="1"/>
      <c r="F17" s="1"/>
    </row>
    <row r="18" spans="1:6" x14ac:dyDescent="0.35">
      <c r="A18" s="1"/>
      <c r="B18" s="1"/>
      <c r="C18" s="1"/>
      <c r="D18" s="1"/>
      <c r="E18" s="1"/>
      <c r="F18" s="1"/>
    </row>
    <row r="19" spans="1:6" ht="15.5" x14ac:dyDescent="0.35">
      <c r="A19" s="2" t="s">
        <v>9</v>
      </c>
      <c r="B19" s="1"/>
      <c r="C19" s="1"/>
      <c r="D19" s="1"/>
      <c r="E19" s="1"/>
      <c r="F19" s="1"/>
    </row>
    <row r="20" spans="1:6" x14ac:dyDescent="0.35">
      <c r="A20" s="1" t="s">
        <v>10</v>
      </c>
      <c r="B20" s="1"/>
      <c r="C20" s="1"/>
      <c r="D20" s="1"/>
      <c r="E20" s="1"/>
      <c r="F20" s="1"/>
    </row>
    <row r="21" spans="1:6" x14ac:dyDescent="0.35">
      <c r="A21" s="1" t="s">
        <v>11</v>
      </c>
      <c r="B21" s="1"/>
      <c r="C21" s="1"/>
      <c r="D21" s="1"/>
      <c r="E21" s="1"/>
      <c r="F21" s="1"/>
    </row>
    <row r="22" spans="1:6" x14ac:dyDescent="0.35">
      <c r="A22" s="1" t="s">
        <v>12</v>
      </c>
      <c r="B22" s="1"/>
      <c r="C22" s="1"/>
      <c r="D22" s="1"/>
      <c r="E22" s="1"/>
      <c r="F22" s="1"/>
    </row>
    <row r="23" spans="1:6" x14ac:dyDescent="0.35">
      <c r="A23" s="1" t="s">
        <v>13</v>
      </c>
      <c r="B23" s="1"/>
      <c r="C23" s="1"/>
      <c r="D23" s="1"/>
      <c r="E23" s="1"/>
      <c r="F23" s="1"/>
    </row>
    <row r="24" spans="1:6" x14ac:dyDescent="0.35">
      <c r="A24" s="1"/>
      <c r="B24" s="1"/>
      <c r="C24" s="1"/>
      <c r="D24" s="1"/>
      <c r="E24" s="1"/>
      <c r="F24" s="1"/>
    </row>
    <row r="25" spans="1:6" x14ac:dyDescent="0.35">
      <c r="A25" s="1"/>
      <c r="B25" s="1"/>
      <c r="C25" s="1"/>
      <c r="D25" s="1"/>
      <c r="E25" s="1"/>
      <c r="F25" s="1"/>
    </row>
    <row r="26" spans="1:6" x14ac:dyDescent="0.35">
      <c r="A26" s="1"/>
      <c r="B26" s="1"/>
      <c r="C26" s="1"/>
      <c r="D26" s="1"/>
      <c r="E26" s="1"/>
      <c r="F26" s="1"/>
    </row>
    <row r="27" spans="1:6" x14ac:dyDescent="0.35">
      <c r="A27" s="1"/>
      <c r="B27" s="1"/>
      <c r="C27" s="1"/>
      <c r="D27" s="1"/>
      <c r="E27" s="1"/>
      <c r="F27" s="1"/>
    </row>
    <row r="28" spans="1:6" x14ac:dyDescent="0.35">
      <c r="A28" s="1"/>
      <c r="B28" s="1"/>
      <c r="C28" s="1"/>
      <c r="D28" s="1"/>
      <c r="E28" s="1"/>
      <c r="F28" s="1"/>
    </row>
    <row r="29" spans="1:6" x14ac:dyDescent="0.35">
      <c r="A29" s="1"/>
      <c r="B29" s="1"/>
      <c r="C29" s="1"/>
      <c r="D29" s="1"/>
      <c r="E29" s="1"/>
      <c r="F29" s="1"/>
    </row>
    <row r="30" spans="1:6" x14ac:dyDescent="0.35">
      <c r="A30" s="1"/>
      <c r="B30" s="1"/>
      <c r="C30" s="1"/>
      <c r="D30" s="1"/>
      <c r="E30" s="1"/>
      <c r="F30" s="1"/>
    </row>
    <row r="31" spans="1:6" x14ac:dyDescent="0.35">
      <c r="A31" s="1"/>
      <c r="B31" s="1"/>
      <c r="C31" s="1"/>
      <c r="D31" s="1"/>
      <c r="E31" s="1"/>
      <c r="F31" s="1"/>
    </row>
    <row r="32" spans="1:6" x14ac:dyDescent="0.35">
      <c r="A32" s="1"/>
      <c r="B32" s="1"/>
      <c r="C32" s="1"/>
      <c r="D32" s="1"/>
      <c r="E32" s="1"/>
      <c r="F32" s="1"/>
    </row>
    <row r="33" spans="1:6" x14ac:dyDescent="0.35">
      <c r="A33" s="1"/>
      <c r="B33" s="1"/>
      <c r="C33" s="1"/>
      <c r="D33" s="1"/>
      <c r="E33" s="1"/>
      <c r="F33" s="1"/>
    </row>
    <row r="34" spans="1:6" x14ac:dyDescent="0.35">
      <c r="A34" s="1"/>
      <c r="B34" s="1"/>
      <c r="C34" s="1"/>
      <c r="D34" s="1"/>
      <c r="E34" s="1"/>
      <c r="F34" s="1"/>
    </row>
    <row r="35" spans="1:6" x14ac:dyDescent="0.35">
      <c r="A35" s="1"/>
      <c r="B35" s="1"/>
      <c r="C35" s="1"/>
      <c r="D35" s="1"/>
      <c r="E35" s="1"/>
      <c r="F35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AD537-E886-4C01-8D63-DCA2C2533AAD}">
  <sheetPr codeName="Sheet2">
    <tabColor rgb="FF00B0F0"/>
  </sheetPr>
  <dimension ref="H6:AF41"/>
  <sheetViews>
    <sheetView workbookViewId="0">
      <selection activeCell="I6" sqref="I6"/>
    </sheetView>
  </sheetViews>
  <sheetFormatPr defaultRowHeight="14.5" x14ac:dyDescent="0.35"/>
  <cols>
    <col min="8" max="8" width="56" bestFit="1" customWidth="1"/>
    <col min="9" max="9" width="28.36328125" bestFit="1" customWidth="1"/>
    <col min="10" max="10" width="36.90625" bestFit="1" customWidth="1"/>
    <col min="11" max="11" width="12.453125" bestFit="1" customWidth="1"/>
    <col min="12" max="12" width="11.81640625" bestFit="1" customWidth="1"/>
    <col min="13" max="13" width="19.453125" bestFit="1" customWidth="1"/>
    <col min="14" max="14" width="20.7265625" bestFit="1" customWidth="1"/>
    <col min="15" max="15" width="13.90625" bestFit="1" customWidth="1"/>
    <col min="16" max="16" width="14.1796875" bestFit="1" customWidth="1"/>
    <col min="17" max="17" width="12.453125" bestFit="1" customWidth="1"/>
    <col min="18" max="18" width="10.453125" bestFit="1" customWidth="1"/>
    <col min="19" max="19" width="12.453125" bestFit="1" customWidth="1"/>
    <col min="20" max="20" width="10.453125" bestFit="1" customWidth="1"/>
    <col min="21" max="21" width="12.453125" bestFit="1" customWidth="1"/>
    <col min="22" max="22" width="10.453125" bestFit="1" customWidth="1"/>
    <col min="23" max="23" width="12.453125" bestFit="1" customWidth="1"/>
    <col min="24" max="24" width="10.453125" bestFit="1" customWidth="1"/>
    <col min="25" max="25" width="12.453125" bestFit="1" customWidth="1"/>
    <col min="26" max="26" width="10.453125" bestFit="1" customWidth="1"/>
    <col min="27" max="27" width="12.453125" bestFit="1" customWidth="1"/>
    <col min="28" max="28" width="10.453125" bestFit="1" customWidth="1"/>
    <col min="29" max="29" width="11.453125" bestFit="1" customWidth="1"/>
    <col min="30" max="30" width="10.453125" bestFit="1" customWidth="1"/>
    <col min="31" max="31" width="9.26953125" bestFit="1" customWidth="1"/>
    <col min="32" max="32" width="10.453125" bestFit="1" customWidth="1"/>
  </cols>
  <sheetData>
    <row r="6" spans="8:32" x14ac:dyDescent="0.35">
      <c r="H6" t="s">
        <v>16</v>
      </c>
      <c r="I6" s="5" t="s">
        <v>22</v>
      </c>
    </row>
    <row r="10" spans="8:32" x14ac:dyDescent="0.35">
      <c r="H10" s="4" t="str" cm="1">
        <f t="array" ref="H10:AF41">factsage_list_compounds(H6)</f>
        <v>formula</v>
      </c>
      <c r="I10" s="4" t="str">
        <v>name</v>
      </c>
      <c r="J10" s="4" t="str">
        <v>phase</v>
      </c>
      <c r="K10" s="4" t="str">
        <v>H298</v>
      </c>
      <c r="L10" s="4" t="str">
        <v>S298</v>
      </c>
      <c r="M10" s="4" t="str">
        <v>enthalpy of transition</v>
      </c>
      <c r="N10" s="4" t="str">
        <v>transition temperature</v>
      </c>
      <c r="O10" s="4" t="str">
        <v>T(range) min, K</v>
      </c>
      <c r="P10" s="4" t="str">
        <v>T(range) max, K</v>
      </c>
      <c r="Q10" s="4" t="str">
        <v>CP(val)[1]</v>
      </c>
      <c r="R10" s="4" t="str">
        <v>CP(pow)[1]</v>
      </c>
      <c r="S10" s="4" t="str">
        <v>CP(val)[2]</v>
      </c>
      <c r="T10" s="4" t="str">
        <v>CP(pow)[2]</v>
      </c>
      <c r="U10" s="4" t="str">
        <v>CP(val)[3]</v>
      </c>
      <c r="V10" s="4" t="str">
        <v>CP(pow)[3]</v>
      </c>
      <c r="W10" s="4" t="str">
        <v>CP(val)[4]</v>
      </c>
      <c r="X10" s="4" t="str">
        <v>CP(pow)[4]</v>
      </c>
      <c r="Y10" s="4" t="str">
        <v>CP(val)[5]</v>
      </c>
      <c r="Z10" s="4" t="str">
        <v>CP(pow)[5]</v>
      </c>
      <c r="AA10" s="4" t="str">
        <v>CP(val)[6]</v>
      </c>
      <c r="AB10" s="4" t="str">
        <v>CP(pow)[6]</v>
      </c>
      <c r="AC10" s="4" t="str">
        <v>CP(val)[7]</v>
      </c>
      <c r="AD10" s="4" t="str">
        <v>CP(pow)[7]</v>
      </c>
      <c r="AE10" s="4" t="str">
        <v>CP(val)[8]</v>
      </c>
      <c r="AF10" s="4" t="str">
        <v>CP(pow)[8]</v>
      </c>
    </row>
    <row r="11" spans="8:32" x14ac:dyDescent="0.35">
      <c r="H11" s="3" t="str">
        <v>SiO2</v>
      </c>
      <c r="I11" s="3" t="str">
        <v>silicon dioxide</v>
      </c>
      <c r="J11" s="3" t="str">
        <v>Quartz(l)</v>
      </c>
      <c r="K11" s="3">
        <v>-910699.9418400001</v>
      </c>
      <c r="L11" s="3">
        <v>41.460001588799997</v>
      </c>
      <c r="M11" s="3" t="str">
        <v/>
      </c>
      <c r="N11" s="3" t="str">
        <v/>
      </c>
      <c r="O11" s="3">
        <v>298.14999999999998</v>
      </c>
      <c r="P11" s="3">
        <v>373</v>
      </c>
      <c r="Q11" s="3">
        <v>19.123325000000001</v>
      </c>
      <c r="R11" s="3">
        <v>0</v>
      </c>
      <c r="S11" s="3">
        <v>-847677.82</v>
      </c>
      <c r="T11" s="3">
        <v>-2</v>
      </c>
      <c r="U11" s="3">
        <v>-57.427342000000003</v>
      </c>
      <c r="V11" s="3">
        <v>-0.5</v>
      </c>
      <c r="W11" s="3">
        <v>117487660</v>
      </c>
      <c r="X11" s="3">
        <v>-3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</row>
    <row r="12" spans="8:32" x14ac:dyDescent="0.35">
      <c r="H12" s="3" t="str">
        <v>SiO2</v>
      </c>
      <c r="I12" s="3" t="str">
        <v>silicon dioxide</v>
      </c>
      <c r="J12" s="3" t="str">
        <v>Quartz(l)</v>
      </c>
      <c r="K12" s="3">
        <v>-910699.9418400001</v>
      </c>
      <c r="L12" s="3">
        <v>41.460001588799997</v>
      </c>
      <c r="M12" s="3" t="str">
        <v/>
      </c>
      <c r="N12" s="3" t="str">
        <v/>
      </c>
      <c r="O12" s="3">
        <v>373</v>
      </c>
      <c r="P12" s="3">
        <v>848.02</v>
      </c>
      <c r="Q12" s="3">
        <v>19.123325000000001</v>
      </c>
      <c r="R12" s="3">
        <v>0</v>
      </c>
      <c r="S12" s="3">
        <v>2.0172135999999997E-3</v>
      </c>
      <c r="T12" s="3">
        <v>1</v>
      </c>
      <c r="U12" s="3">
        <v>-847677.82</v>
      </c>
      <c r="V12" s="3">
        <v>-2</v>
      </c>
      <c r="W12" s="3">
        <v>-1.0806094999999996E-5</v>
      </c>
      <c r="X12" s="3">
        <v>2</v>
      </c>
      <c r="Y12" s="3">
        <v>1.4471903999999998E-8</v>
      </c>
      <c r="Z12" s="3">
        <v>3</v>
      </c>
      <c r="AA12" s="3">
        <v>-57.427342000000003</v>
      </c>
      <c r="AB12" s="3">
        <v>-0.5</v>
      </c>
      <c r="AC12" s="3">
        <v>117487660</v>
      </c>
      <c r="AD12" s="3">
        <v>-3</v>
      </c>
      <c r="AE12" s="3">
        <v>0</v>
      </c>
      <c r="AF12" s="3">
        <v>0</v>
      </c>
    </row>
    <row r="13" spans="8:32" x14ac:dyDescent="0.35">
      <c r="H13" s="3" t="str">
        <v>SiO2</v>
      </c>
      <c r="I13" s="3" t="str">
        <v>silicon dioxide</v>
      </c>
      <c r="J13" s="3" t="str">
        <v>Quartz(l)</v>
      </c>
      <c r="K13" s="3">
        <v>-910699.9418400001</v>
      </c>
      <c r="L13" s="3">
        <v>41.460001588799997</v>
      </c>
      <c r="M13" s="3" t="str">
        <v/>
      </c>
      <c r="N13" s="3" t="str">
        <v/>
      </c>
      <c r="O13" s="3">
        <v>848.02</v>
      </c>
      <c r="P13" s="3">
        <v>850</v>
      </c>
      <c r="Q13" s="3">
        <v>0.01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</row>
    <row r="14" spans="8:32" x14ac:dyDescent="0.35">
      <c r="H14" s="3" t="str">
        <v>SiO2</v>
      </c>
      <c r="I14" s="3" t="str">
        <v>silicon dioxide</v>
      </c>
      <c r="J14" s="3" t="str">
        <v>Quartz(h)</v>
      </c>
      <c r="K14" s="3">
        <v>-908626.76984000008</v>
      </c>
      <c r="L14" s="3">
        <v>44.206800936</v>
      </c>
      <c r="M14" s="3" t="str">
        <v/>
      </c>
      <c r="N14" s="3" t="str">
        <v/>
      </c>
      <c r="O14" s="3">
        <v>298.14999999999998</v>
      </c>
      <c r="P14" s="3">
        <v>1995.99</v>
      </c>
      <c r="Q14" s="3">
        <v>19.123325000000001</v>
      </c>
      <c r="R14" s="3">
        <v>0</v>
      </c>
      <c r="S14" s="3">
        <v>-847677.82</v>
      </c>
      <c r="T14" s="3">
        <v>-2</v>
      </c>
      <c r="U14" s="3">
        <v>-57.427342000000003</v>
      </c>
      <c r="V14" s="3">
        <v>-0.5</v>
      </c>
      <c r="W14" s="3">
        <v>117487660</v>
      </c>
      <c r="X14" s="3">
        <v>-3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</row>
    <row r="15" spans="8:32" x14ac:dyDescent="0.35">
      <c r="H15" s="3" t="str">
        <v>SiO2</v>
      </c>
      <c r="I15" s="3" t="str">
        <v>silicon dioxide</v>
      </c>
      <c r="J15" s="3" t="str">
        <v>Quartz(h)</v>
      </c>
      <c r="K15" s="3">
        <v>-908626.76984000008</v>
      </c>
      <c r="L15" s="3">
        <v>44.206800936</v>
      </c>
      <c r="M15" s="3" t="str">
        <v/>
      </c>
      <c r="N15" s="3" t="str">
        <v/>
      </c>
      <c r="O15" s="3">
        <v>1995.99</v>
      </c>
      <c r="P15" s="3">
        <v>3000</v>
      </c>
      <c r="Q15" s="3">
        <v>20.5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</row>
    <row r="16" spans="8:32" x14ac:dyDescent="0.35">
      <c r="H16" s="3" t="str">
        <v>SiO2</v>
      </c>
      <c r="I16" s="3" t="str">
        <v>silicon dioxide</v>
      </c>
      <c r="J16" s="3" t="str">
        <v>Tridymite(l)</v>
      </c>
      <c r="K16" s="3">
        <v>-907605.16255999974</v>
      </c>
      <c r="L16" s="3">
        <v>43.770200535999997</v>
      </c>
      <c r="M16" s="3" t="str">
        <v/>
      </c>
      <c r="N16" s="3" t="str">
        <v/>
      </c>
      <c r="O16" s="3">
        <v>298.14999999999998</v>
      </c>
      <c r="P16" s="3">
        <v>390.15</v>
      </c>
      <c r="Q16" s="3">
        <v>18.014500000000002</v>
      </c>
      <c r="R16" s="3">
        <v>0</v>
      </c>
      <c r="S16" s="3">
        <v>4.3517463999999992E-2</v>
      </c>
      <c r="T16" s="3">
        <v>1</v>
      </c>
      <c r="U16" s="3">
        <v>-1424018.9</v>
      </c>
      <c r="V16" s="3">
        <v>-2</v>
      </c>
      <c r="W16" s="3">
        <v>-2.9488939000000002E-4</v>
      </c>
      <c r="X16" s="3">
        <v>2</v>
      </c>
      <c r="Y16" s="3">
        <v>4.9956812000000003E-7</v>
      </c>
      <c r="Z16" s="3">
        <v>3</v>
      </c>
      <c r="AA16" s="3">
        <v>229026320</v>
      </c>
      <c r="AB16" s="3">
        <v>-3</v>
      </c>
      <c r="AC16" s="3">
        <v>0</v>
      </c>
      <c r="AD16" s="3">
        <v>0</v>
      </c>
      <c r="AE16" s="3">
        <v>0</v>
      </c>
      <c r="AF16" s="3">
        <v>0</v>
      </c>
    </row>
    <row r="17" spans="8:32" x14ac:dyDescent="0.35">
      <c r="H17" s="3" t="str">
        <v>SiO2</v>
      </c>
      <c r="I17" s="3" t="str">
        <v>silicon dioxide</v>
      </c>
      <c r="J17" s="3" t="str">
        <v>Tridymite(l)</v>
      </c>
      <c r="K17" s="3">
        <v>-907605.16255999974</v>
      </c>
      <c r="L17" s="3">
        <v>43.770200535999997</v>
      </c>
      <c r="M17" s="3" t="str">
        <v/>
      </c>
      <c r="N17" s="3" t="str">
        <v/>
      </c>
      <c r="O17" s="3">
        <v>390.15</v>
      </c>
      <c r="P17" s="3">
        <v>392.15</v>
      </c>
      <c r="Q17" s="3">
        <v>0.01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</row>
    <row r="18" spans="8:32" x14ac:dyDescent="0.35">
      <c r="H18" s="3" t="str">
        <v>SiO2</v>
      </c>
      <c r="I18" s="3" t="str">
        <v>silicon dioxide</v>
      </c>
      <c r="J18" s="3" t="str">
        <v>Tridymite(h)</v>
      </c>
      <c r="K18" s="3">
        <v>-907045.13416000002</v>
      </c>
      <c r="L18" s="3">
        <v>45.523698199999998</v>
      </c>
      <c r="M18" s="3" t="str">
        <v/>
      </c>
      <c r="N18" s="3" t="str">
        <v/>
      </c>
      <c r="O18" s="3">
        <v>298.14999999999998</v>
      </c>
      <c r="P18" s="3">
        <v>1991.28</v>
      </c>
      <c r="Q18" s="3">
        <v>18.014500000000002</v>
      </c>
      <c r="R18" s="3">
        <v>0</v>
      </c>
      <c r="S18" s="3">
        <v>-1424018.9</v>
      </c>
      <c r="T18" s="3">
        <v>-2</v>
      </c>
      <c r="U18" s="3">
        <v>229026320</v>
      </c>
      <c r="V18" s="3">
        <v>-3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</row>
    <row r="19" spans="8:32" x14ac:dyDescent="0.35">
      <c r="H19" s="3" t="str">
        <v>SiO2</v>
      </c>
      <c r="I19" s="3" t="str">
        <v>silicon dioxide</v>
      </c>
      <c r="J19" s="3" t="str">
        <v>Tridymite(h)</v>
      </c>
      <c r="K19" s="3">
        <v>-907045.13416000002</v>
      </c>
      <c r="L19" s="3">
        <v>45.523698199999998</v>
      </c>
      <c r="M19" s="3" t="str">
        <v/>
      </c>
      <c r="N19" s="3" t="str">
        <v/>
      </c>
      <c r="O19" s="3">
        <v>1991.28</v>
      </c>
      <c r="P19" s="3">
        <v>3000</v>
      </c>
      <c r="Q19" s="3">
        <v>20.5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</row>
    <row r="20" spans="8:32" x14ac:dyDescent="0.35">
      <c r="H20" s="3" t="str">
        <v>SiO2</v>
      </c>
      <c r="I20" s="3" t="str">
        <v>silicon dioxide</v>
      </c>
      <c r="J20" s="3" t="str">
        <v>Cristobalite(l)</v>
      </c>
      <c r="K20" s="3">
        <v>-907753.35984000005</v>
      </c>
      <c r="L20" s="3">
        <v>43.394301607999999</v>
      </c>
      <c r="M20" s="3" t="str">
        <v/>
      </c>
      <c r="N20" s="3" t="str">
        <v/>
      </c>
      <c r="O20" s="3">
        <v>298.14999999999998</v>
      </c>
      <c r="P20" s="3">
        <v>535.15</v>
      </c>
      <c r="Q20" s="3">
        <v>19.960228999999998</v>
      </c>
      <c r="R20" s="3">
        <v>0</v>
      </c>
      <c r="S20" s="3">
        <v>4.830305E-3</v>
      </c>
      <c r="T20" s="3">
        <v>1</v>
      </c>
      <c r="U20" s="3">
        <v>-586845.12</v>
      </c>
      <c r="V20" s="3">
        <v>-2</v>
      </c>
      <c r="W20" s="3">
        <v>-2.9996699000000001E-5</v>
      </c>
      <c r="X20" s="3">
        <v>2</v>
      </c>
      <c r="Y20" s="3">
        <v>4.6570655E-8</v>
      </c>
      <c r="Z20" s="3">
        <v>3</v>
      </c>
      <c r="AA20" s="3">
        <v>-89.553775999999999</v>
      </c>
      <c r="AB20" s="3">
        <v>-0.5</v>
      </c>
      <c r="AC20" s="3">
        <v>66938861</v>
      </c>
      <c r="AD20" s="3">
        <v>-3</v>
      </c>
      <c r="AE20" s="3">
        <v>0</v>
      </c>
      <c r="AF20" s="3">
        <v>0</v>
      </c>
    </row>
    <row r="21" spans="8:32" x14ac:dyDescent="0.35">
      <c r="H21" s="3" t="str">
        <v>SiO2</v>
      </c>
      <c r="I21" s="3" t="str">
        <v>silicon dioxide</v>
      </c>
      <c r="J21" s="3" t="str">
        <v>Cristobalite(l)</v>
      </c>
      <c r="K21" s="3">
        <v>-907753.35984000005</v>
      </c>
      <c r="L21" s="3">
        <v>43.394301607999999</v>
      </c>
      <c r="M21" s="3" t="str">
        <v/>
      </c>
      <c r="N21" s="3" t="str">
        <v/>
      </c>
      <c r="O21" s="3">
        <v>535.15</v>
      </c>
      <c r="P21" s="3">
        <v>537.15</v>
      </c>
      <c r="Q21" s="3">
        <v>0.01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</row>
    <row r="22" spans="8:32" x14ac:dyDescent="0.35">
      <c r="H22" s="3" t="str">
        <v>SiO2</v>
      </c>
      <c r="I22" s="3" t="str">
        <v>silicon dioxide</v>
      </c>
      <c r="J22" s="3" t="str">
        <v>Cristobalite(h)</v>
      </c>
      <c r="K22" s="3">
        <v>-906377.2296879997</v>
      </c>
      <c r="L22" s="3">
        <v>46.028799048000003</v>
      </c>
      <c r="M22" s="3" t="str">
        <v/>
      </c>
      <c r="N22" s="3" t="str">
        <v/>
      </c>
      <c r="O22" s="3">
        <v>298.14999999999998</v>
      </c>
      <c r="P22" s="3">
        <v>1995.99</v>
      </c>
      <c r="Q22" s="3">
        <v>19.960228999999998</v>
      </c>
      <c r="R22" s="3">
        <v>0</v>
      </c>
      <c r="S22" s="3">
        <v>-586845.12</v>
      </c>
      <c r="T22" s="3">
        <v>-2</v>
      </c>
      <c r="U22" s="3">
        <v>-89.553775999999999</v>
      </c>
      <c r="V22" s="3">
        <v>-0.5</v>
      </c>
      <c r="W22" s="3">
        <v>66938861</v>
      </c>
      <c r="X22" s="3">
        <v>-3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</row>
    <row r="23" spans="8:32" x14ac:dyDescent="0.35">
      <c r="H23" s="3" t="str">
        <v>SiO2</v>
      </c>
      <c r="I23" s="3" t="str">
        <v>silicon dioxide</v>
      </c>
      <c r="J23" s="3" t="str">
        <v>Cristobalite(h)</v>
      </c>
      <c r="K23" s="3">
        <v>-906377.2296879997</v>
      </c>
      <c r="L23" s="3">
        <v>46.028799048000003</v>
      </c>
      <c r="M23" s="3" t="str">
        <v/>
      </c>
      <c r="N23" s="3" t="str">
        <v/>
      </c>
      <c r="O23" s="3">
        <v>1995.99</v>
      </c>
      <c r="P23" s="3">
        <v>3000</v>
      </c>
      <c r="Q23" s="3">
        <v>20.5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</row>
    <row r="24" spans="8:32" x14ac:dyDescent="0.35">
      <c r="H24" s="3" t="str">
        <v>SiO2</v>
      </c>
      <c r="I24" s="3" t="str">
        <v>silicon dioxide</v>
      </c>
      <c r="J24" s="3" t="str">
        <v>coesite</v>
      </c>
      <c r="K24" s="3">
        <v>-906898.73600000003</v>
      </c>
      <c r="L24" s="3">
        <v>40.499998687999998</v>
      </c>
      <c r="M24" s="3" t="str">
        <v/>
      </c>
      <c r="N24" s="3" t="str">
        <v/>
      </c>
      <c r="O24" s="3">
        <v>298.14999999999998</v>
      </c>
      <c r="P24" s="3">
        <v>3000</v>
      </c>
      <c r="Q24" s="3">
        <v>18.64245</v>
      </c>
      <c r="R24" s="3">
        <v>0</v>
      </c>
      <c r="S24" s="3">
        <v>-740918</v>
      </c>
      <c r="T24" s="3">
        <v>-2</v>
      </c>
      <c r="U24" s="3">
        <v>140009600</v>
      </c>
      <c r="V24" s="3">
        <v>-3</v>
      </c>
      <c r="W24" s="3">
        <v>-1598.7090000000001</v>
      </c>
      <c r="X24" s="3">
        <v>-1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</row>
    <row r="25" spans="8:32" x14ac:dyDescent="0.35">
      <c r="H25" s="3" t="str">
        <v>SiO2</v>
      </c>
      <c r="I25" s="3" t="str">
        <v>silicon dioxide</v>
      </c>
      <c r="J25" s="3" t="str">
        <v>stishovite</v>
      </c>
      <c r="K25" s="3">
        <v>-864000.18400000001</v>
      </c>
      <c r="L25" s="3">
        <v>29.499999095999993</v>
      </c>
      <c r="M25" s="3" t="str">
        <v/>
      </c>
      <c r="N25" s="3" t="str">
        <v/>
      </c>
      <c r="O25" s="3">
        <v>298.14999999999998</v>
      </c>
      <c r="P25" s="3">
        <v>3000</v>
      </c>
      <c r="Q25" s="3">
        <v>13.89101</v>
      </c>
      <c r="R25" s="3">
        <v>0</v>
      </c>
      <c r="S25" s="3">
        <v>1.6735179999999999E-3</v>
      </c>
      <c r="T25" s="3">
        <v>1</v>
      </c>
      <c r="U25" s="3">
        <v>-3008840</v>
      </c>
      <c r="V25" s="3">
        <v>-2</v>
      </c>
      <c r="W25" s="3">
        <v>428489000</v>
      </c>
      <c r="X25" s="3">
        <v>-3</v>
      </c>
      <c r="Y25" s="3">
        <v>4065.4899999999993</v>
      </c>
      <c r="Z25" s="3">
        <v>-1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</row>
    <row r="26" spans="8:32" x14ac:dyDescent="0.35">
      <c r="H26" s="3" t="str">
        <v>SiO2</v>
      </c>
      <c r="I26" s="3" t="str">
        <v>silicon dioxide</v>
      </c>
      <c r="J26" s="3" t="str">
        <v>Liquid</v>
      </c>
      <c r="K26" s="3">
        <v>-896795.86968799995</v>
      </c>
      <c r="L26" s="3">
        <v>50.829102248000005</v>
      </c>
      <c r="M26" s="3" t="str">
        <v/>
      </c>
      <c r="N26" s="3" t="str">
        <v/>
      </c>
      <c r="O26" s="3">
        <v>298.14999999999998</v>
      </c>
      <c r="P26" s="3">
        <v>1995.99</v>
      </c>
      <c r="Q26" s="3">
        <v>19.960228999999998</v>
      </c>
      <c r="R26" s="3">
        <v>0</v>
      </c>
      <c r="S26" s="3">
        <v>-586845.12</v>
      </c>
      <c r="T26" s="3">
        <v>-2</v>
      </c>
      <c r="U26" s="3">
        <v>-89.553775999999999</v>
      </c>
      <c r="V26" s="3">
        <v>-0.5</v>
      </c>
      <c r="W26" s="3">
        <v>66938861</v>
      </c>
      <c r="X26" s="3">
        <v>-3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</row>
    <row r="27" spans="8:32" x14ac:dyDescent="0.35">
      <c r="H27" s="3" t="str">
        <v>SiO2</v>
      </c>
      <c r="I27" s="3" t="str">
        <v>silicon dioxide</v>
      </c>
      <c r="J27" s="3" t="str">
        <v>Liquid</v>
      </c>
      <c r="K27" s="3">
        <v>-896795.86968799995</v>
      </c>
      <c r="L27" s="3">
        <v>50.829102248000005</v>
      </c>
      <c r="M27" s="3" t="str">
        <v/>
      </c>
      <c r="N27" s="3" t="str">
        <v/>
      </c>
      <c r="O27" s="3">
        <v>1995.99</v>
      </c>
      <c r="P27" s="3">
        <v>3000</v>
      </c>
      <c r="Q27" s="3">
        <v>20.5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</row>
    <row r="28" spans="8:32" x14ac:dyDescent="0.35">
      <c r="H28" s="3" t="str">
        <v>CaO</v>
      </c>
      <c r="I28" s="3" t="str">
        <v>Calcium oxide</v>
      </c>
      <c r="J28" s="3" t="str">
        <v>Lime</v>
      </c>
      <c r="K28" s="3">
        <v>-635089.99596800003</v>
      </c>
      <c r="L28" s="3">
        <v>37.749996070400002</v>
      </c>
      <c r="M28" s="3" t="str">
        <v/>
      </c>
      <c r="N28" s="3" t="str">
        <v/>
      </c>
      <c r="O28" s="3">
        <v>298.14999999999998</v>
      </c>
      <c r="P28" s="3">
        <v>2845.16</v>
      </c>
      <c r="Q28" s="3">
        <v>14.051427</v>
      </c>
      <c r="R28" s="3">
        <v>0</v>
      </c>
      <c r="S28" s="3">
        <v>-274174.46999999997</v>
      </c>
      <c r="T28" s="3">
        <v>-2</v>
      </c>
      <c r="U28" s="3">
        <v>-32.003824000000002</v>
      </c>
      <c r="V28" s="3">
        <v>-0.5</v>
      </c>
      <c r="W28" s="3">
        <v>24612521</v>
      </c>
      <c r="X28" s="3">
        <v>-3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</row>
    <row r="29" spans="8:32" x14ac:dyDescent="0.35">
      <c r="H29" s="3" t="str">
        <v>CaO</v>
      </c>
      <c r="I29" s="3" t="str">
        <v>Calcium oxide</v>
      </c>
      <c r="J29" s="3" t="str">
        <v>Lime</v>
      </c>
      <c r="K29" s="3">
        <v>-635089.99596800003</v>
      </c>
      <c r="L29" s="3">
        <v>37.749996070400002</v>
      </c>
      <c r="M29" s="3" t="str">
        <v/>
      </c>
      <c r="N29" s="3" t="str">
        <v/>
      </c>
      <c r="O29" s="3">
        <v>2845.16</v>
      </c>
      <c r="P29" s="3">
        <v>3500</v>
      </c>
      <c r="Q29" s="3">
        <v>15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</row>
    <row r="30" spans="8:32" x14ac:dyDescent="0.35">
      <c r="H30" s="3" t="str">
        <v>CaO</v>
      </c>
      <c r="I30" s="3" t="str">
        <v>Calcium oxide</v>
      </c>
      <c r="J30" s="3" t="str">
        <v>Liquid</v>
      </c>
      <c r="K30" s="3">
        <v>-555593.99596800003</v>
      </c>
      <c r="L30" s="3">
        <v>65.690758112000012</v>
      </c>
      <c r="M30" s="3" t="str">
        <v/>
      </c>
      <c r="N30" s="3" t="str">
        <v/>
      </c>
      <c r="O30" s="3">
        <v>298.14999999999998</v>
      </c>
      <c r="P30" s="3">
        <v>2845.16</v>
      </c>
      <c r="Q30" s="3">
        <v>14.051427</v>
      </c>
      <c r="R30" s="3">
        <v>0</v>
      </c>
      <c r="S30" s="3">
        <v>-274174.46999999997</v>
      </c>
      <c r="T30" s="3">
        <v>-2</v>
      </c>
      <c r="U30" s="3">
        <v>-32.003824000000002</v>
      </c>
      <c r="V30" s="3">
        <v>-0.5</v>
      </c>
      <c r="W30" s="3">
        <v>24612521</v>
      </c>
      <c r="X30" s="3">
        <v>-3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</row>
    <row r="31" spans="8:32" x14ac:dyDescent="0.35">
      <c r="H31" s="3" t="str">
        <v>CaO</v>
      </c>
      <c r="I31" s="3" t="str">
        <v>Calcium oxide</v>
      </c>
      <c r="J31" s="3" t="str">
        <v>Liquid</v>
      </c>
      <c r="K31" s="3">
        <v>-555593.99596800003</v>
      </c>
      <c r="L31" s="3">
        <v>65.690758112000012</v>
      </c>
      <c r="M31" s="3" t="str">
        <v/>
      </c>
      <c r="N31" s="3" t="str">
        <v/>
      </c>
      <c r="O31" s="3">
        <v>2845.16</v>
      </c>
      <c r="P31" s="3">
        <v>3500</v>
      </c>
      <c r="Q31" s="3">
        <v>15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</row>
    <row r="32" spans="8:32" x14ac:dyDescent="0.35">
      <c r="H32" s="3" t="str">
        <v>CaSiO3</v>
      </c>
      <c r="I32" s="3" t="str">
        <v>Calcium metasilicate</v>
      </c>
      <c r="J32" s="3" t="str">
        <v>Wollastonite</v>
      </c>
      <c r="K32" s="3">
        <v>-1634676.41536</v>
      </c>
      <c r="L32" s="3">
        <v>79.814260144000002</v>
      </c>
      <c r="M32" s="3" t="str">
        <v/>
      </c>
      <c r="N32" s="3" t="str">
        <v/>
      </c>
      <c r="O32" s="3">
        <v>298.14999999999998</v>
      </c>
      <c r="P32" s="3">
        <v>2000</v>
      </c>
      <c r="Q32" s="3">
        <v>35.629221000000001</v>
      </c>
      <c r="R32" s="3">
        <v>0</v>
      </c>
      <c r="S32" s="3">
        <v>-874605.16</v>
      </c>
      <c r="T32" s="3">
        <v>-2</v>
      </c>
      <c r="U32" s="3">
        <v>-164.98446000000001</v>
      </c>
      <c r="V32" s="3">
        <v>-0.5</v>
      </c>
      <c r="W32" s="3">
        <v>115762290.00000001</v>
      </c>
      <c r="X32" s="3">
        <v>-3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</row>
    <row r="33" spans="8:32" x14ac:dyDescent="0.35">
      <c r="H33" s="3" t="str">
        <v>CaSiO3</v>
      </c>
      <c r="I33" s="3" t="str">
        <v>Calcium metasilicate</v>
      </c>
      <c r="J33" s="3" t="str">
        <v>Wollastonite</v>
      </c>
      <c r="K33" s="3">
        <v>-1634676.41536</v>
      </c>
      <c r="L33" s="3">
        <v>79.814260144000002</v>
      </c>
      <c r="M33" s="3" t="str">
        <v/>
      </c>
      <c r="N33" s="3" t="str">
        <v/>
      </c>
      <c r="O33" s="3">
        <v>2000</v>
      </c>
      <c r="P33" s="3">
        <v>2002</v>
      </c>
      <c r="Q33" s="3">
        <v>35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</row>
    <row r="34" spans="8:32" x14ac:dyDescent="0.35">
      <c r="H34" s="3" t="str">
        <v>CaSiO3</v>
      </c>
      <c r="I34" s="3" t="str">
        <v>Calcium metasilicate</v>
      </c>
      <c r="J34" s="3" t="str">
        <v>Ps-wollastonite</v>
      </c>
      <c r="K34" s="3">
        <v>-1625506.5559439999</v>
      </c>
      <c r="L34" s="3">
        <v>86.936460336799996</v>
      </c>
      <c r="M34" s="3" t="str">
        <v/>
      </c>
      <c r="N34" s="3" t="str">
        <v/>
      </c>
      <c r="O34" s="3">
        <v>298.14999999999998</v>
      </c>
      <c r="P34" s="3">
        <v>1813</v>
      </c>
      <c r="Q34" s="3">
        <v>33.737120000000004</v>
      </c>
      <c r="R34" s="3">
        <v>0</v>
      </c>
      <c r="S34" s="3">
        <v>-1399998.8</v>
      </c>
      <c r="T34" s="3">
        <v>-2</v>
      </c>
      <c r="U34" s="3">
        <v>-99.720841000000007</v>
      </c>
      <c r="V34" s="3">
        <v>-0.5</v>
      </c>
      <c r="W34" s="3">
        <v>224841050.00000003</v>
      </c>
      <c r="X34" s="3">
        <v>-3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</row>
    <row r="35" spans="8:32" x14ac:dyDescent="0.35">
      <c r="H35" s="3" t="str">
        <v>CaSiO3</v>
      </c>
      <c r="I35" s="3" t="str">
        <v>Calcium metasilicate</v>
      </c>
      <c r="J35" s="3" t="str">
        <v>Ps-wollastonite</v>
      </c>
      <c r="K35" s="3">
        <v>-1625506.5559439999</v>
      </c>
      <c r="L35" s="3">
        <v>86.936460336799996</v>
      </c>
      <c r="M35" s="3" t="str">
        <v/>
      </c>
      <c r="N35" s="3" t="str">
        <v/>
      </c>
      <c r="O35" s="3">
        <v>1813</v>
      </c>
      <c r="P35" s="3">
        <v>1815</v>
      </c>
      <c r="Q35" s="3">
        <v>35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</row>
    <row r="36" spans="8:32" x14ac:dyDescent="0.35">
      <c r="H36" s="3" t="str">
        <v>Ca2SiO4</v>
      </c>
      <c r="I36" s="3" t="str">
        <v>Calcium orthosilicate</v>
      </c>
      <c r="J36" s="3" t="str">
        <v>Gamma(olivine)</v>
      </c>
      <c r="K36" s="3">
        <v>-2307513.656</v>
      </c>
      <c r="L36" s="3">
        <v>119.659998384</v>
      </c>
      <c r="M36" s="3" t="str">
        <v/>
      </c>
      <c r="N36" s="3" t="str">
        <v/>
      </c>
      <c r="O36" s="3">
        <v>298.14999999999998</v>
      </c>
      <c r="P36" s="3">
        <v>2500</v>
      </c>
      <c r="Q36" s="3">
        <v>58.236187000000008</v>
      </c>
      <c r="R36" s="3">
        <v>0</v>
      </c>
      <c r="S36" s="3">
        <v>7351371</v>
      </c>
      <c r="T36" s="3">
        <v>-3</v>
      </c>
      <c r="U36" s="3">
        <v>-486.23838999999998</v>
      </c>
      <c r="V36" s="3">
        <v>-0.5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</row>
    <row r="37" spans="8:32" x14ac:dyDescent="0.35">
      <c r="H37" s="3" t="str">
        <v>Ca2SiO4</v>
      </c>
      <c r="I37" s="3" t="str">
        <v>Calcium orthosilicate</v>
      </c>
      <c r="J37" s="3" t="str">
        <v>Alpha-prime</v>
      </c>
      <c r="K37" s="3">
        <v>-2273629.44832</v>
      </c>
      <c r="L37" s="3">
        <v>147.78856177599999</v>
      </c>
      <c r="M37" s="3" t="str">
        <v/>
      </c>
      <c r="N37" s="3" t="str">
        <v/>
      </c>
      <c r="O37" s="3">
        <v>298.14999999999998</v>
      </c>
      <c r="P37" s="3">
        <v>1710</v>
      </c>
      <c r="Q37" s="3">
        <v>50.308022000000008</v>
      </c>
      <c r="R37" s="3">
        <v>0</v>
      </c>
      <c r="S37" s="3">
        <v>-1909512.4000000001</v>
      </c>
      <c r="T37" s="3">
        <v>-2</v>
      </c>
      <c r="U37" s="3">
        <v>310105151</v>
      </c>
      <c r="V37" s="3">
        <v>-3</v>
      </c>
      <c r="W37" s="3">
        <v>-167.75812999999999</v>
      </c>
      <c r="X37" s="3">
        <v>-0.5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</row>
    <row r="38" spans="8:32" x14ac:dyDescent="0.35">
      <c r="H38" s="3" t="str">
        <v>Ca2SiO4</v>
      </c>
      <c r="I38" s="3" t="str">
        <v>Calcium orthosilicate</v>
      </c>
      <c r="J38" s="3" t="str">
        <v>Alpha-prime</v>
      </c>
      <c r="K38" s="3">
        <v>-2273629.44832</v>
      </c>
      <c r="L38" s="3">
        <v>147.78856177599999</v>
      </c>
      <c r="M38" s="3" t="str">
        <v/>
      </c>
      <c r="N38" s="3" t="str">
        <v/>
      </c>
      <c r="O38" s="3">
        <v>1710</v>
      </c>
      <c r="P38" s="3">
        <v>5000</v>
      </c>
      <c r="Q38" s="3">
        <v>38.357736000000003</v>
      </c>
      <c r="R38" s="3">
        <v>0</v>
      </c>
      <c r="S38" s="3">
        <v>-1909512.4000000001</v>
      </c>
      <c r="T38" s="3">
        <v>-2</v>
      </c>
      <c r="U38" s="3">
        <v>310105151</v>
      </c>
      <c r="V38" s="3">
        <v>-3</v>
      </c>
      <c r="W38" s="3">
        <v>-167.75812999999999</v>
      </c>
      <c r="X38" s="3">
        <v>-0.5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</row>
    <row r="39" spans="8:32" x14ac:dyDescent="0.35">
      <c r="H39" s="3" t="str">
        <v>Ca2SiO4</v>
      </c>
      <c r="I39" s="3" t="str">
        <v>Calcium orthosilicate</v>
      </c>
      <c r="J39" s="3" t="str">
        <v>Alpha</v>
      </c>
      <c r="K39" s="3">
        <v>-2198760.1573600001</v>
      </c>
      <c r="L39" s="3">
        <v>237.622209064</v>
      </c>
      <c r="M39" s="3" t="str">
        <v/>
      </c>
      <c r="N39" s="3" t="str">
        <v/>
      </c>
      <c r="O39" s="3">
        <v>298.14999999999998</v>
      </c>
      <c r="P39" s="3">
        <v>5000</v>
      </c>
      <c r="Q39" s="3">
        <v>38.357736000000003</v>
      </c>
      <c r="R39" s="3">
        <v>0</v>
      </c>
      <c r="S39" s="3">
        <v>-1909512.4000000001</v>
      </c>
      <c r="T39" s="3">
        <v>-2</v>
      </c>
      <c r="U39" s="3">
        <v>310105151</v>
      </c>
      <c r="V39" s="3">
        <v>-3</v>
      </c>
      <c r="W39" s="3">
        <v>-167.75812999999999</v>
      </c>
      <c r="X39" s="3">
        <v>-0.5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</row>
    <row r="40" spans="8:32" x14ac:dyDescent="0.35">
      <c r="H40" s="3" t="str">
        <v>Ca3SiO5</v>
      </c>
      <c r="I40" s="3" t="str">
        <v>Hatrurite</v>
      </c>
      <c r="J40" s="3" t="str">
        <v>Hatrurite</v>
      </c>
      <c r="K40" s="3">
        <v>-2857014.9027999998</v>
      </c>
      <c r="L40" s="3">
        <v>235.64607657599996</v>
      </c>
      <c r="M40" s="3" t="str">
        <v/>
      </c>
      <c r="N40" s="3" t="str">
        <v/>
      </c>
      <c r="O40" s="3">
        <v>298.14999999999998</v>
      </c>
      <c r="P40" s="3">
        <v>2500</v>
      </c>
      <c r="Q40" s="3">
        <v>50.188413000000004</v>
      </c>
      <c r="R40" s="3">
        <v>0</v>
      </c>
      <c r="S40" s="3">
        <v>-120.60299000000001</v>
      </c>
      <c r="T40" s="3">
        <v>-0.5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</row>
    <row r="41" spans="8:32" x14ac:dyDescent="0.35">
      <c r="H41" s="3" t="str">
        <v>Ca3Si2O7</v>
      </c>
      <c r="I41" s="3" t="str">
        <v>Rankinite</v>
      </c>
      <c r="J41" s="3" t="str">
        <v>Rankinite</v>
      </c>
      <c r="K41" s="3">
        <v>-3950432.1748000002</v>
      </c>
      <c r="L41" s="3">
        <v>205.55550169599999</v>
      </c>
      <c r="M41" s="3" t="str">
        <v/>
      </c>
      <c r="N41" s="3" t="str">
        <v/>
      </c>
      <c r="O41" s="3">
        <v>298.14999999999998</v>
      </c>
      <c r="P41" s="3">
        <v>5000</v>
      </c>
      <c r="Q41" s="3">
        <v>93.893106000000003</v>
      </c>
      <c r="R41" s="3">
        <v>0</v>
      </c>
      <c r="S41" s="3">
        <v>-2547800.0799999996</v>
      </c>
      <c r="T41" s="3">
        <v>-2</v>
      </c>
      <c r="U41" s="3">
        <v>-525.82835239999997</v>
      </c>
      <c r="V41" s="3">
        <v>-0.5</v>
      </c>
      <c r="W41" s="3">
        <v>328295681.00000006</v>
      </c>
      <c r="X41" s="3">
        <v>-3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A1013-9D31-4DDC-9794-BAA4CA54DB34}">
  <sheetPr codeName="Sheet3">
    <tabColor rgb="FF00B050"/>
  </sheetPr>
  <dimension ref="A5:BE73"/>
  <sheetViews>
    <sheetView tabSelected="1" zoomScale="70" zoomScaleNormal="70" workbookViewId="0">
      <selection activeCell="B64" sqref="B64"/>
    </sheetView>
  </sheetViews>
  <sheetFormatPr defaultRowHeight="14.5" x14ac:dyDescent="0.35"/>
  <cols>
    <col min="1" max="1" width="11.54296875" bestFit="1" customWidth="1"/>
    <col min="2" max="2" width="62.81640625" bestFit="1" customWidth="1"/>
    <col min="3" max="3" width="30.90625" bestFit="1" customWidth="1"/>
    <col min="7" max="7" width="11.54296875" bestFit="1" customWidth="1"/>
    <col min="8" max="8" width="10.6328125" bestFit="1" customWidth="1"/>
    <col min="9" max="9" width="20" bestFit="1" customWidth="1"/>
    <col min="10" max="11" width="15.08984375" bestFit="1" customWidth="1"/>
    <col min="12" max="12" width="14.1796875" bestFit="1" customWidth="1"/>
    <col min="13" max="13" width="8.81640625" bestFit="1" customWidth="1"/>
    <col min="14" max="14" width="9.08984375" bestFit="1" customWidth="1"/>
    <col min="15" max="16" width="16.6328125" bestFit="1" customWidth="1"/>
    <col min="17" max="17" width="15.08984375" bestFit="1" customWidth="1"/>
    <col min="18" max="18" width="11.54296875" bestFit="1" customWidth="1"/>
    <col min="19" max="19" width="15.08984375" bestFit="1" customWidth="1"/>
    <col min="20" max="20" width="12" bestFit="1" customWidth="1"/>
    <col min="21" max="21" width="15.08984375" bestFit="1" customWidth="1"/>
    <col min="22" max="22" width="12" bestFit="1" customWidth="1"/>
    <col min="23" max="23" width="15.08984375" bestFit="1" customWidth="1"/>
    <col min="24" max="24" width="12" bestFit="1" customWidth="1"/>
    <col min="25" max="25" width="15.08984375" bestFit="1" customWidth="1"/>
    <col min="26" max="26" width="12" bestFit="1" customWidth="1"/>
    <col min="27" max="27" width="14.1796875" bestFit="1" customWidth="1"/>
    <col min="28" max="28" width="12" bestFit="1" customWidth="1"/>
    <col min="29" max="29" width="14.1796875" bestFit="1" customWidth="1"/>
    <col min="30" max="30" width="12" bestFit="1" customWidth="1"/>
    <col min="31" max="31" width="10.90625" bestFit="1" customWidth="1"/>
    <col min="32" max="32" width="12" bestFit="1" customWidth="1"/>
    <col min="33" max="33" width="10.6328125" bestFit="1" customWidth="1"/>
    <col min="34" max="34" width="20" bestFit="1" customWidth="1"/>
    <col min="35" max="36" width="15.08984375" bestFit="1" customWidth="1"/>
    <col min="37" max="37" width="14.1796875" bestFit="1" customWidth="1"/>
    <col min="38" max="38" width="9.26953125" bestFit="1" customWidth="1"/>
    <col min="39" max="39" width="9.54296875" bestFit="1" customWidth="1"/>
    <col min="40" max="41" width="17" bestFit="1" customWidth="1"/>
    <col min="42" max="42" width="11.81640625" bestFit="1" customWidth="1"/>
    <col min="43" max="43" width="12" bestFit="1" customWidth="1"/>
    <col min="44" max="44" width="14.1796875" bestFit="1" customWidth="1"/>
    <col min="45" max="45" width="12.36328125" bestFit="1" customWidth="1"/>
    <col min="46" max="46" width="15.08984375" bestFit="1" customWidth="1"/>
    <col min="47" max="47" width="12.36328125" bestFit="1" customWidth="1"/>
    <col min="48" max="48" width="15.08984375" bestFit="1" customWidth="1"/>
    <col min="49" max="49" width="12.36328125" bestFit="1" customWidth="1"/>
    <col min="50" max="50" width="14.1796875" bestFit="1" customWidth="1"/>
    <col min="51" max="51" width="12.36328125" bestFit="1" customWidth="1"/>
    <col min="52" max="52" width="12.81640625" bestFit="1" customWidth="1"/>
    <col min="53" max="53" width="12.36328125" bestFit="1" customWidth="1"/>
    <col min="54" max="54" width="11.81640625" bestFit="1" customWidth="1"/>
    <col min="55" max="55" width="12.36328125" bestFit="1" customWidth="1"/>
    <col min="56" max="56" width="11.1796875" bestFit="1" customWidth="1"/>
    <col min="57" max="57" width="12.36328125" bestFit="1" customWidth="1"/>
  </cols>
  <sheetData>
    <row r="5" spans="1:57" x14ac:dyDescent="0.35">
      <c r="A5" s="4" t="s">
        <v>19</v>
      </c>
      <c r="B5" s="3" t="s">
        <v>17</v>
      </c>
      <c r="C5" s="5" t="s">
        <v>21</v>
      </c>
    </row>
    <row r="6" spans="1:57" x14ac:dyDescent="0.35">
      <c r="A6" s="4" t="s">
        <v>20</v>
      </c>
      <c r="B6" s="3" t="s">
        <v>16</v>
      </c>
      <c r="C6" s="5" t="s">
        <v>21</v>
      </c>
    </row>
    <row r="7" spans="1:57" x14ac:dyDescent="0.35">
      <c r="A7" s="4" t="s">
        <v>18</v>
      </c>
      <c r="B7" s="3">
        <v>1</v>
      </c>
    </row>
    <row r="10" spans="1:57" x14ac:dyDescent="0.35">
      <c r="H10" s="3" t="str" cm="1">
        <f t="array" ref="H10:BE73">factsage_compare_compounds(B5,B6)</f>
        <v>formula_1</v>
      </c>
      <c r="I10" s="3" t="str">
        <v>name_1</v>
      </c>
      <c r="J10" s="3" t="str">
        <v>phase_1</v>
      </c>
      <c r="K10" s="3" t="str">
        <v>H298_1</v>
      </c>
      <c r="L10" s="3" t="str">
        <v>S298_1</v>
      </c>
      <c r="M10" s="3" t="str">
        <v>Ttrans_1</v>
      </c>
      <c r="N10" s="3" t="str">
        <v>Htrans_1</v>
      </c>
      <c r="O10" s="3" t="str">
        <v>T(range) min, K, 1</v>
      </c>
      <c r="P10" s="3" t="str">
        <v>T(range) max K, 1</v>
      </c>
      <c r="Q10" s="3" t="str">
        <v>CP(val1)_1</v>
      </c>
      <c r="R10" s="3" t="str">
        <v>CP(pow1)_1</v>
      </c>
      <c r="S10" s="3" t="str">
        <v>CP(val2)_1</v>
      </c>
      <c r="T10" s="3" t="str">
        <v>CP(pow2)_1</v>
      </c>
      <c r="U10" s="3" t="str">
        <v>CP(val3)_1</v>
      </c>
      <c r="V10" s="3" t="str">
        <v>CP(pow3)_1</v>
      </c>
      <c r="W10" s="3" t="str">
        <v>CP(val4)_1</v>
      </c>
      <c r="X10" s="3" t="str">
        <v>CP(pow4)_1</v>
      </c>
      <c r="Y10" s="3" t="str">
        <v>CP(val5)_1</v>
      </c>
      <c r="Z10" s="3" t="str">
        <v>CP(pow5)_1</v>
      </c>
      <c r="AA10" s="3" t="str">
        <v>CP(val6)_1</v>
      </c>
      <c r="AB10" s="3" t="str">
        <v>CP(pow6)_1</v>
      </c>
      <c r="AC10" s="3" t="str">
        <v>CP(val7)_1</v>
      </c>
      <c r="AD10" s="3" t="str">
        <v>CP(pow7)_1</v>
      </c>
      <c r="AE10" s="3" t="str">
        <v>CP(val8)_1</v>
      </c>
      <c r="AF10" s="3" t="str">
        <v>CP(pow8)_1</v>
      </c>
      <c r="AG10" s="3" t="str">
        <v>formula_2</v>
      </c>
      <c r="AH10" s="3" t="str">
        <v>name_2</v>
      </c>
      <c r="AI10" s="3" t="str">
        <v>phase_2</v>
      </c>
      <c r="AJ10" s="3" t="str">
        <v>H298_2</v>
      </c>
      <c r="AK10" s="3" t="str">
        <v>S298_2</v>
      </c>
      <c r="AL10" s="3" t="str">
        <v>Ttrans_2</v>
      </c>
      <c r="AM10" s="3" t="str">
        <v>Htrans_2</v>
      </c>
      <c r="AN10" s="3" t="str">
        <v>T(range) min, K, 2</v>
      </c>
      <c r="AO10" s="3" t="str">
        <v>T(range) max K, 2</v>
      </c>
      <c r="AP10" s="3" t="str">
        <v>CP(val1)_2</v>
      </c>
      <c r="AQ10" s="3" t="str">
        <v>CP(pow1)_2</v>
      </c>
      <c r="AR10" s="3" t="str">
        <v>CP(val2)_2</v>
      </c>
      <c r="AS10" s="3" t="str">
        <v>CP(pow2)_2</v>
      </c>
      <c r="AT10" s="3" t="str">
        <v>CP(val3)_2</v>
      </c>
      <c r="AU10" s="3" t="str">
        <v>CP(pow3)_2</v>
      </c>
      <c r="AV10" s="3" t="str">
        <v>CP(val4)_2</v>
      </c>
      <c r="AW10" s="3" t="str">
        <v>CP(pow4)_2</v>
      </c>
      <c r="AX10" s="3" t="str">
        <v>CP(val5)_2</v>
      </c>
      <c r="AY10" s="3" t="str">
        <v>CP(pow5)_2</v>
      </c>
      <c r="AZ10" s="3" t="str">
        <v>CP(val6)_2</v>
      </c>
      <c r="BA10" s="3" t="str">
        <v>CP(pow6)_2</v>
      </c>
      <c r="BB10" s="3" t="str">
        <v>CP(val7)_2</v>
      </c>
      <c r="BC10" s="3" t="str">
        <v>CP(pow7)_2</v>
      </c>
      <c r="BD10" s="3" t="str">
        <v>CP(val8)_2</v>
      </c>
      <c r="BE10" s="3" t="str">
        <v>CP(pow8)_2</v>
      </c>
    </row>
    <row r="11" spans="1:57" x14ac:dyDescent="0.35">
      <c r="H11" s="3" t="str">
        <v>SiO2</v>
      </c>
      <c r="I11" s="3" t="str">
        <v>silicon dioxide</v>
      </c>
      <c r="J11" s="3" t="str">
        <v>Quartz(l)</v>
      </c>
      <c r="K11" s="3">
        <v>-910699.94183999998</v>
      </c>
      <c r="L11" s="3">
        <v>41.460001588799997</v>
      </c>
      <c r="M11" s="3" t="str">
        <v/>
      </c>
      <c r="N11" s="3" t="str">
        <v/>
      </c>
      <c r="O11" s="3">
        <v>1</v>
      </c>
      <c r="P11" s="3">
        <v>50</v>
      </c>
      <c r="Q11" s="3">
        <v>2.9162762906309743E-5</v>
      </c>
      <c r="R11" s="3">
        <v>3</v>
      </c>
      <c r="S11" s="3">
        <v>-3.6151051625239007E-7</v>
      </c>
      <c r="T11" s="3">
        <v>4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 t="str">
        <v>SiO2</v>
      </c>
      <c r="AH11" s="3" t="str">
        <v>silicon dioxide</v>
      </c>
      <c r="AI11" s="3" t="str">
        <v>Quartz(l)</v>
      </c>
      <c r="AJ11" s="3">
        <v>-910699.9418400001</v>
      </c>
      <c r="AK11" s="3">
        <v>41.460001588799997</v>
      </c>
      <c r="AL11" s="3" t="str">
        <v/>
      </c>
      <c r="AM11" s="3" t="str">
        <v/>
      </c>
      <c r="AN11" s="3">
        <v>298.14999999999998</v>
      </c>
      <c r="AO11" s="3">
        <v>373</v>
      </c>
      <c r="AP11" s="3">
        <v>19.123325000000001</v>
      </c>
      <c r="AQ11" s="3">
        <v>0</v>
      </c>
      <c r="AR11" s="3">
        <v>-847677.82</v>
      </c>
      <c r="AS11" s="3">
        <v>-2</v>
      </c>
      <c r="AT11" s="3">
        <v>-57.427342000000003</v>
      </c>
      <c r="AU11" s="3">
        <v>-0.5</v>
      </c>
      <c r="AV11" s="3">
        <v>117487660</v>
      </c>
      <c r="AW11" s="3">
        <v>-3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</row>
    <row r="12" spans="1:57" x14ac:dyDescent="0.35">
      <c r="H12" s="3" t="str">
        <v>SiO2</v>
      </c>
      <c r="I12" s="3" t="str">
        <v>silicon dioxide</v>
      </c>
      <c r="J12" s="3" t="str">
        <v>Quartz(l)</v>
      </c>
      <c r="K12" s="3">
        <v>-910699.94183999998</v>
      </c>
      <c r="L12" s="3">
        <v>41.460001588799997</v>
      </c>
      <c r="M12" s="3" t="str">
        <v/>
      </c>
      <c r="N12" s="3" t="str">
        <v/>
      </c>
      <c r="O12" s="3">
        <v>50</v>
      </c>
      <c r="P12" s="3">
        <v>298.14999999999998</v>
      </c>
      <c r="Q12" s="3">
        <v>-0.83735685683556393</v>
      </c>
      <c r="R12" s="3">
        <v>0</v>
      </c>
      <c r="S12" s="3">
        <v>4.0330324091778197E-2</v>
      </c>
      <c r="T12" s="3">
        <v>1</v>
      </c>
      <c r="U12" s="3">
        <v>1.1607672084130013E-4</v>
      </c>
      <c r="V12" s="3">
        <v>2</v>
      </c>
      <c r="W12" s="3">
        <v>-7.08972275334608E-7</v>
      </c>
      <c r="X12" s="3">
        <v>3</v>
      </c>
      <c r="Y12" s="3">
        <v>1.005717017208413E-9</v>
      </c>
      <c r="Z12" s="3">
        <v>4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 t="str">
        <v>SiO2</v>
      </c>
      <c r="AH12" s="3" t="str">
        <v>silicon dioxide</v>
      </c>
      <c r="AI12" s="3" t="str">
        <v>Quartz(l)</v>
      </c>
      <c r="AJ12" s="3">
        <v>-910699.9418400001</v>
      </c>
      <c r="AK12" s="3">
        <v>41.460001588799997</v>
      </c>
      <c r="AL12" s="3" t="str">
        <v/>
      </c>
      <c r="AM12" s="3" t="str">
        <v/>
      </c>
      <c r="AN12" s="3">
        <v>373</v>
      </c>
      <c r="AO12" s="3">
        <v>848.02</v>
      </c>
      <c r="AP12" s="3">
        <v>19.123325000000001</v>
      </c>
      <c r="AQ12" s="3">
        <v>0</v>
      </c>
      <c r="AR12" s="3">
        <v>2.0172135999999997E-3</v>
      </c>
      <c r="AS12" s="3">
        <v>1</v>
      </c>
      <c r="AT12" s="3">
        <v>-847677.82</v>
      </c>
      <c r="AU12" s="3">
        <v>-2</v>
      </c>
      <c r="AV12" s="3">
        <v>-1.0806094999999996E-5</v>
      </c>
      <c r="AW12" s="3">
        <v>2</v>
      </c>
      <c r="AX12" s="3">
        <v>1.4471903999999998E-8</v>
      </c>
      <c r="AY12" s="3">
        <v>3</v>
      </c>
      <c r="AZ12" s="3">
        <v>-57.427342000000003</v>
      </c>
      <c r="BA12" s="3">
        <v>-0.5</v>
      </c>
      <c r="BB12" s="3">
        <v>117487660</v>
      </c>
      <c r="BC12" s="3">
        <v>-3</v>
      </c>
      <c r="BD12" s="3">
        <v>0</v>
      </c>
      <c r="BE12" s="3">
        <v>0</v>
      </c>
    </row>
    <row r="13" spans="1:57" x14ac:dyDescent="0.35">
      <c r="H13" s="3" t="str">
        <v>SiO2</v>
      </c>
      <c r="I13" s="3" t="str">
        <v>silicon dioxide</v>
      </c>
      <c r="J13" s="3" t="str">
        <v>Quartz(l)</v>
      </c>
      <c r="K13" s="3">
        <v>-910699.94183999998</v>
      </c>
      <c r="L13" s="3">
        <v>41.460001588799997</v>
      </c>
      <c r="M13" s="3" t="str">
        <v/>
      </c>
      <c r="N13" s="3" t="str">
        <v/>
      </c>
      <c r="O13" s="3">
        <v>298.14999999999998</v>
      </c>
      <c r="P13" s="3">
        <v>373</v>
      </c>
      <c r="Q13" s="3">
        <v>19.123325000000001</v>
      </c>
      <c r="R13" s="3">
        <v>0</v>
      </c>
      <c r="S13" s="3">
        <v>-847677.82</v>
      </c>
      <c r="T13" s="3">
        <v>-2</v>
      </c>
      <c r="U13" s="3">
        <v>-57.427341999999975</v>
      </c>
      <c r="V13" s="3">
        <v>-0.5</v>
      </c>
      <c r="W13" s="3">
        <v>117487660</v>
      </c>
      <c r="X13" s="3">
        <v>-3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 t="str">
        <v>SiO2</v>
      </c>
      <c r="AH13" s="3" t="str">
        <v>silicon dioxide</v>
      </c>
      <c r="AI13" s="3" t="str">
        <v>Quartz(l)</v>
      </c>
      <c r="AJ13" s="3">
        <v>-910699.9418400001</v>
      </c>
      <c r="AK13" s="3">
        <v>41.460001588799997</v>
      </c>
      <c r="AL13" s="3" t="str">
        <v/>
      </c>
      <c r="AM13" s="3" t="str">
        <v/>
      </c>
      <c r="AN13" s="3">
        <v>848.02</v>
      </c>
      <c r="AO13" s="3">
        <v>850</v>
      </c>
      <c r="AP13" s="3">
        <v>0.01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</row>
    <row r="14" spans="1:57" x14ac:dyDescent="0.35">
      <c r="H14" s="3" t="str">
        <v>SiO2</v>
      </c>
      <c r="I14" s="3" t="str">
        <v>silicon dioxide</v>
      </c>
      <c r="J14" s="3" t="str">
        <v>Quartz(l)</v>
      </c>
      <c r="K14" s="3">
        <v>-910699.94183999998</v>
      </c>
      <c r="L14" s="3">
        <v>41.460001588799997</v>
      </c>
      <c r="M14" s="3" t="str">
        <v/>
      </c>
      <c r="N14" s="3" t="str">
        <v/>
      </c>
      <c r="O14" s="3">
        <v>373</v>
      </c>
      <c r="P14" s="3">
        <v>848.02</v>
      </c>
      <c r="Q14" s="3">
        <v>19.123325000000001</v>
      </c>
      <c r="R14" s="3">
        <v>0</v>
      </c>
      <c r="S14" s="3">
        <v>2.0172135999999997E-3</v>
      </c>
      <c r="T14" s="3">
        <v>1</v>
      </c>
      <c r="U14" s="3">
        <v>-847677.82</v>
      </c>
      <c r="V14" s="3">
        <v>-2</v>
      </c>
      <c r="W14" s="3">
        <v>-1.0806094999999996E-5</v>
      </c>
      <c r="X14" s="3">
        <v>2</v>
      </c>
      <c r="Y14" s="3">
        <v>1.4471903999999998E-8</v>
      </c>
      <c r="Z14" s="3">
        <v>3</v>
      </c>
      <c r="AA14" s="3">
        <v>-57.427341999999975</v>
      </c>
      <c r="AB14" s="3">
        <v>-0.5</v>
      </c>
      <c r="AC14" s="3">
        <v>117487660</v>
      </c>
      <c r="AD14" s="3">
        <v>-3</v>
      </c>
      <c r="AE14" s="3">
        <v>0</v>
      </c>
      <c r="AF14" s="3">
        <v>0</v>
      </c>
      <c r="AG14" s="3" t="str">
        <v/>
      </c>
      <c r="AH14" s="3" t="str">
        <v/>
      </c>
      <c r="AI14" s="3" t="str">
        <v/>
      </c>
      <c r="AJ14" s="3" t="str">
        <v/>
      </c>
      <c r="AK14" s="3" t="str">
        <v/>
      </c>
      <c r="AL14" s="3" t="str">
        <v/>
      </c>
      <c r="AM14" s="3" t="str">
        <v/>
      </c>
      <c r="AN14" s="3" t="str">
        <v/>
      </c>
      <c r="AO14" s="3" t="str">
        <v/>
      </c>
      <c r="AP14" s="3" t="str">
        <v/>
      </c>
      <c r="AQ14" s="3" t="str">
        <v/>
      </c>
      <c r="AR14" s="3" t="str">
        <v/>
      </c>
      <c r="AS14" s="3" t="str">
        <v/>
      </c>
      <c r="AT14" s="3" t="str">
        <v/>
      </c>
      <c r="AU14" s="3" t="str">
        <v/>
      </c>
      <c r="AV14" s="3" t="str">
        <v/>
      </c>
      <c r="AW14" s="3" t="str">
        <v/>
      </c>
      <c r="AX14" s="3" t="str">
        <v/>
      </c>
      <c r="AY14" s="3" t="str">
        <v/>
      </c>
      <c r="AZ14" s="3" t="str">
        <v/>
      </c>
      <c r="BA14" s="3" t="str">
        <v/>
      </c>
      <c r="BB14" s="3" t="str">
        <v/>
      </c>
      <c r="BC14" s="3" t="str">
        <v/>
      </c>
      <c r="BD14" s="3" t="str">
        <v/>
      </c>
      <c r="BE14" s="3" t="str">
        <v/>
      </c>
    </row>
    <row r="15" spans="1:57" x14ac:dyDescent="0.35">
      <c r="H15" s="3" t="str">
        <v>SiO2</v>
      </c>
      <c r="I15" s="3" t="str">
        <v>silicon dioxide</v>
      </c>
      <c r="J15" s="3" t="str">
        <v>Quartz(l)</v>
      </c>
      <c r="K15" s="3">
        <v>-910699.94183999998</v>
      </c>
      <c r="L15" s="3">
        <v>41.460001588799997</v>
      </c>
      <c r="M15" s="3" t="str">
        <v/>
      </c>
      <c r="N15" s="3" t="str">
        <v/>
      </c>
      <c r="O15" s="3">
        <v>848.02</v>
      </c>
      <c r="P15" s="3">
        <v>3000</v>
      </c>
      <c r="Q15" s="3">
        <v>19.123325000000001</v>
      </c>
      <c r="R15" s="3">
        <v>0</v>
      </c>
      <c r="S15" s="3">
        <v>-847677.82</v>
      </c>
      <c r="T15" s="3">
        <v>-2</v>
      </c>
      <c r="U15" s="3">
        <v>-57.427341999999975</v>
      </c>
      <c r="V15" s="3">
        <v>-0.5</v>
      </c>
      <c r="W15" s="3">
        <v>117487660</v>
      </c>
      <c r="X15" s="3">
        <v>-3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 t="str">
        <v/>
      </c>
      <c r="AH15" s="3" t="str">
        <v/>
      </c>
      <c r="AI15" s="3" t="str">
        <v/>
      </c>
      <c r="AJ15" s="3" t="str">
        <v/>
      </c>
      <c r="AK15" s="3" t="str">
        <v/>
      </c>
      <c r="AL15" s="3" t="str">
        <v/>
      </c>
      <c r="AM15" s="3" t="str">
        <v/>
      </c>
      <c r="AN15" s="3" t="str">
        <v/>
      </c>
      <c r="AO15" s="3" t="str">
        <v/>
      </c>
      <c r="AP15" s="3" t="str">
        <v/>
      </c>
      <c r="AQ15" s="3" t="str">
        <v/>
      </c>
      <c r="AR15" s="3" t="str">
        <v/>
      </c>
      <c r="AS15" s="3" t="str">
        <v/>
      </c>
      <c r="AT15" s="3" t="str">
        <v/>
      </c>
      <c r="AU15" s="3" t="str">
        <v/>
      </c>
      <c r="AV15" s="3" t="str">
        <v/>
      </c>
      <c r="AW15" s="3" t="str">
        <v/>
      </c>
      <c r="AX15" s="3" t="str">
        <v/>
      </c>
      <c r="AY15" s="3" t="str">
        <v/>
      </c>
      <c r="AZ15" s="3" t="str">
        <v/>
      </c>
      <c r="BA15" s="3" t="str">
        <v/>
      </c>
      <c r="BB15" s="3" t="str">
        <v/>
      </c>
      <c r="BC15" s="3" t="str">
        <v/>
      </c>
      <c r="BD15" s="3" t="str">
        <v/>
      </c>
      <c r="BE15" s="3" t="str">
        <v/>
      </c>
    </row>
    <row r="16" spans="1:57" x14ac:dyDescent="0.35">
      <c r="H16" s="3" t="str">
        <v>SiO2</v>
      </c>
      <c r="I16" s="3" t="str">
        <v>silicon dioxide</v>
      </c>
      <c r="J16" s="3" t="str">
        <v>Quartz(h)</v>
      </c>
      <c r="K16" s="3">
        <v>-908626.76983999996</v>
      </c>
      <c r="L16" s="3">
        <v>44.206800936</v>
      </c>
      <c r="M16" s="3" t="str">
        <v/>
      </c>
      <c r="N16" s="3" t="str">
        <v/>
      </c>
      <c r="O16" s="3">
        <v>1</v>
      </c>
      <c r="P16" s="3">
        <v>50</v>
      </c>
      <c r="Q16" s="3">
        <v>2.9162762906309743E-5</v>
      </c>
      <c r="R16" s="3">
        <v>3</v>
      </c>
      <c r="S16" s="3">
        <v>-3.6151051625239007E-7</v>
      </c>
      <c r="T16" s="3">
        <v>4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 t="str">
        <v>SiO2</v>
      </c>
      <c r="AH16" s="3" t="str">
        <v>silicon dioxide</v>
      </c>
      <c r="AI16" s="3" t="str">
        <v>Quartz(h)</v>
      </c>
      <c r="AJ16" s="3">
        <v>-908626.76984000008</v>
      </c>
      <c r="AK16" s="3">
        <v>44.206800936</v>
      </c>
      <c r="AL16" s="3" t="str">
        <v/>
      </c>
      <c r="AM16" s="3" t="str">
        <v/>
      </c>
      <c r="AN16" s="3">
        <v>298.14999999999998</v>
      </c>
      <c r="AO16" s="3">
        <v>1995.99</v>
      </c>
      <c r="AP16" s="3">
        <v>19.123325000000001</v>
      </c>
      <c r="AQ16" s="3">
        <v>0</v>
      </c>
      <c r="AR16" s="3">
        <v>-847677.82</v>
      </c>
      <c r="AS16" s="3">
        <v>-2</v>
      </c>
      <c r="AT16" s="3">
        <v>-57.427342000000003</v>
      </c>
      <c r="AU16" s="3">
        <v>-0.5</v>
      </c>
      <c r="AV16" s="3">
        <v>117487660</v>
      </c>
      <c r="AW16" s="3">
        <v>-3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</row>
    <row r="17" spans="8:57" x14ac:dyDescent="0.35">
      <c r="H17" s="3" t="str">
        <v>SiO2</v>
      </c>
      <c r="I17" s="3" t="str">
        <v>silicon dioxide</v>
      </c>
      <c r="J17" s="3" t="str">
        <v>Quartz(h)</v>
      </c>
      <c r="K17" s="3">
        <v>-908626.76983999996</v>
      </c>
      <c r="L17" s="3">
        <v>44.206800936</v>
      </c>
      <c r="M17" s="3" t="str">
        <v/>
      </c>
      <c r="N17" s="3" t="str">
        <v/>
      </c>
      <c r="O17" s="3">
        <v>50</v>
      </c>
      <c r="P17" s="3">
        <v>298.14999999999998</v>
      </c>
      <c r="Q17" s="3">
        <v>-0.83735685683556393</v>
      </c>
      <c r="R17" s="3">
        <v>0</v>
      </c>
      <c r="S17" s="3">
        <v>4.0330324091778197E-2</v>
      </c>
      <c r="T17" s="3">
        <v>1</v>
      </c>
      <c r="U17" s="3">
        <v>1.1607672084130013E-4</v>
      </c>
      <c r="V17" s="3">
        <v>2</v>
      </c>
      <c r="W17" s="3">
        <v>-7.08972275334608E-7</v>
      </c>
      <c r="X17" s="3">
        <v>3</v>
      </c>
      <c r="Y17" s="3">
        <v>1.005717017208413E-9</v>
      </c>
      <c r="Z17" s="3">
        <v>4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 t="str">
        <v>SiO2</v>
      </c>
      <c r="AH17" s="3" t="str">
        <v>silicon dioxide</v>
      </c>
      <c r="AI17" s="3" t="str">
        <v>Quartz(h)</v>
      </c>
      <c r="AJ17" s="3">
        <v>-908626.76984000008</v>
      </c>
      <c r="AK17" s="3">
        <v>44.206800936</v>
      </c>
      <c r="AL17" s="3" t="str">
        <v/>
      </c>
      <c r="AM17" s="3" t="str">
        <v/>
      </c>
      <c r="AN17" s="3">
        <v>1995.99</v>
      </c>
      <c r="AO17" s="3">
        <v>3000</v>
      </c>
      <c r="AP17" s="3">
        <v>20.5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</row>
    <row r="18" spans="8:57" x14ac:dyDescent="0.35">
      <c r="H18" s="3" t="str">
        <v>SiO2</v>
      </c>
      <c r="I18" s="3" t="str">
        <v>silicon dioxide</v>
      </c>
      <c r="J18" s="3" t="str">
        <v>Quartz(h)</v>
      </c>
      <c r="K18" s="3">
        <v>-908626.76983999996</v>
      </c>
      <c r="L18" s="3">
        <v>44.206800936</v>
      </c>
      <c r="M18" s="3" t="str">
        <v/>
      </c>
      <c r="N18" s="3" t="str">
        <v/>
      </c>
      <c r="O18" s="3">
        <v>298.14999999999998</v>
      </c>
      <c r="P18" s="3">
        <v>3000</v>
      </c>
      <c r="Q18" s="3">
        <v>19.123325000000001</v>
      </c>
      <c r="R18" s="3">
        <v>0</v>
      </c>
      <c r="S18" s="3">
        <v>-847677.82</v>
      </c>
      <c r="T18" s="3">
        <v>-2</v>
      </c>
      <c r="U18" s="3">
        <v>-57.427341999999975</v>
      </c>
      <c r="V18" s="3">
        <v>-0.5</v>
      </c>
      <c r="W18" s="3">
        <v>117487660</v>
      </c>
      <c r="X18" s="3">
        <v>-3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 t="str">
        <v/>
      </c>
      <c r="AH18" s="3" t="str">
        <v/>
      </c>
      <c r="AI18" s="3" t="str">
        <v/>
      </c>
      <c r="AJ18" s="3" t="str">
        <v/>
      </c>
      <c r="AK18" s="3" t="str">
        <v/>
      </c>
      <c r="AL18" s="3" t="str">
        <v/>
      </c>
      <c r="AM18" s="3" t="str">
        <v/>
      </c>
      <c r="AN18" s="3" t="str">
        <v/>
      </c>
      <c r="AO18" s="3" t="str">
        <v/>
      </c>
      <c r="AP18" s="3" t="str">
        <v/>
      </c>
      <c r="AQ18" s="3" t="str">
        <v/>
      </c>
      <c r="AR18" s="3" t="str">
        <v/>
      </c>
      <c r="AS18" s="3" t="str">
        <v/>
      </c>
      <c r="AT18" s="3" t="str">
        <v/>
      </c>
      <c r="AU18" s="3" t="str">
        <v/>
      </c>
      <c r="AV18" s="3" t="str">
        <v/>
      </c>
      <c r="AW18" s="3" t="str">
        <v/>
      </c>
      <c r="AX18" s="3" t="str">
        <v/>
      </c>
      <c r="AY18" s="3" t="str">
        <v/>
      </c>
      <c r="AZ18" s="3" t="str">
        <v/>
      </c>
      <c r="BA18" s="3" t="str">
        <v/>
      </c>
      <c r="BB18" s="3" t="str">
        <v/>
      </c>
      <c r="BC18" s="3" t="str">
        <v/>
      </c>
      <c r="BD18" s="3" t="str">
        <v/>
      </c>
      <c r="BE18" s="3" t="str">
        <v/>
      </c>
    </row>
    <row r="19" spans="8:57" x14ac:dyDescent="0.35">
      <c r="H19" s="3" t="str">
        <v>SiO2</v>
      </c>
      <c r="I19" s="3" t="str">
        <v>silicon dioxide</v>
      </c>
      <c r="J19" s="3" t="str">
        <v>Tridymite(l)</v>
      </c>
      <c r="K19" s="3">
        <v>-907605.16255999974</v>
      </c>
      <c r="L19" s="3">
        <v>43.770200535999997</v>
      </c>
      <c r="M19" s="3" t="str">
        <v/>
      </c>
      <c r="N19" s="3" t="str">
        <v/>
      </c>
      <c r="O19" s="3">
        <v>1</v>
      </c>
      <c r="P19" s="3">
        <v>50</v>
      </c>
      <c r="Q19" s="3">
        <v>7.170172084130018E-5</v>
      </c>
      <c r="R19" s="3">
        <v>3</v>
      </c>
      <c r="S19" s="3">
        <v>-1.9198709369024853E-6</v>
      </c>
      <c r="T19" s="3">
        <v>4</v>
      </c>
      <c r="U19" s="3">
        <v>1.4682791586998085E-8</v>
      </c>
      <c r="V19" s="3">
        <v>5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 t="str">
        <v>SiO2</v>
      </c>
      <c r="AH19" s="3" t="str">
        <v>silicon dioxide</v>
      </c>
      <c r="AI19" s="3" t="str">
        <v>Tridymite(l)</v>
      </c>
      <c r="AJ19" s="3">
        <v>-907605.16255999974</v>
      </c>
      <c r="AK19" s="3">
        <v>43.770200535999997</v>
      </c>
      <c r="AL19" s="3" t="str">
        <v/>
      </c>
      <c r="AM19" s="3" t="str">
        <v/>
      </c>
      <c r="AN19" s="3">
        <v>298.14999999999998</v>
      </c>
      <c r="AO19" s="3">
        <v>390.15</v>
      </c>
      <c r="AP19" s="3">
        <v>18.014500000000002</v>
      </c>
      <c r="AQ19" s="3">
        <v>0</v>
      </c>
      <c r="AR19" s="3">
        <v>4.3517463999999992E-2</v>
      </c>
      <c r="AS19" s="3">
        <v>1</v>
      </c>
      <c r="AT19" s="3">
        <v>-1424018.9</v>
      </c>
      <c r="AU19" s="3">
        <v>-2</v>
      </c>
      <c r="AV19" s="3">
        <v>-2.9488939000000002E-4</v>
      </c>
      <c r="AW19" s="3">
        <v>2</v>
      </c>
      <c r="AX19" s="3">
        <v>4.9956812000000003E-7</v>
      </c>
      <c r="AY19" s="3">
        <v>3</v>
      </c>
      <c r="AZ19" s="3">
        <v>229026320</v>
      </c>
      <c r="BA19" s="3">
        <v>-3</v>
      </c>
      <c r="BB19" s="3">
        <v>0</v>
      </c>
      <c r="BC19" s="3">
        <v>0</v>
      </c>
      <c r="BD19" s="3">
        <v>0</v>
      </c>
      <c r="BE19" s="3">
        <v>0</v>
      </c>
    </row>
    <row r="20" spans="8:57" x14ac:dyDescent="0.35">
      <c r="H20" s="3" t="str">
        <v>SiO2</v>
      </c>
      <c r="I20" s="3" t="str">
        <v>silicon dioxide</v>
      </c>
      <c r="J20" s="3" t="str">
        <v>Tridymite(l)</v>
      </c>
      <c r="K20" s="3">
        <v>-907605.16255999974</v>
      </c>
      <c r="L20" s="3">
        <v>43.770200535999997</v>
      </c>
      <c r="M20" s="3" t="str">
        <v/>
      </c>
      <c r="N20" s="3" t="str">
        <v/>
      </c>
      <c r="O20" s="3">
        <v>50</v>
      </c>
      <c r="P20" s="3">
        <v>298.14999999999998</v>
      </c>
      <c r="Q20" s="3">
        <v>-0.37936819239961761</v>
      </c>
      <c r="R20" s="3">
        <v>0</v>
      </c>
      <c r="S20" s="3">
        <v>3.1281685707456978E-2</v>
      </c>
      <c r="T20" s="3">
        <v>1</v>
      </c>
      <c r="U20" s="3">
        <v>1.9150286806883364E-4</v>
      </c>
      <c r="V20" s="3">
        <v>2</v>
      </c>
      <c r="W20" s="3">
        <v>-9.6951481835564051E-7</v>
      </c>
      <c r="X20" s="3">
        <v>3</v>
      </c>
      <c r="Y20" s="3">
        <v>1.3260133843212236E-9</v>
      </c>
      <c r="Z20" s="3">
        <v>4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 t="str">
        <v>SiO2</v>
      </c>
      <c r="AH20" s="3" t="str">
        <v>silicon dioxide</v>
      </c>
      <c r="AI20" s="3" t="str">
        <v>Tridymite(l)</v>
      </c>
      <c r="AJ20" s="3">
        <v>-907605.16255999974</v>
      </c>
      <c r="AK20" s="3">
        <v>43.770200535999997</v>
      </c>
      <c r="AL20" s="3" t="str">
        <v/>
      </c>
      <c r="AM20" s="3" t="str">
        <v/>
      </c>
      <c r="AN20" s="3">
        <v>390.15</v>
      </c>
      <c r="AO20" s="3">
        <v>392.15</v>
      </c>
      <c r="AP20" s="3">
        <v>0.01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</row>
    <row r="21" spans="8:57" x14ac:dyDescent="0.35">
      <c r="H21" s="3" t="str">
        <v>SiO2</v>
      </c>
      <c r="I21" s="3" t="str">
        <v>silicon dioxide</v>
      </c>
      <c r="J21" s="3" t="str">
        <v>Tridymite(l)</v>
      </c>
      <c r="K21" s="3">
        <v>-907605.16255999974</v>
      </c>
      <c r="L21" s="3">
        <v>43.770200535999997</v>
      </c>
      <c r="M21" s="3" t="str">
        <v/>
      </c>
      <c r="N21" s="3" t="str">
        <v/>
      </c>
      <c r="O21" s="3">
        <v>298.14999999999998</v>
      </c>
      <c r="P21" s="3">
        <v>390.15</v>
      </c>
      <c r="Q21" s="3">
        <v>18.014500000000002</v>
      </c>
      <c r="R21" s="3">
        <v>0</v>
      </c>
      <c r="S21" s="3">
        <v>4.3517463999999992E-2</v>
      </c>
      <c r="T21" s="3">
        <v>1</v>
      </c>
      <c r="U21" s="3">
        <v>-1424018.9</v>
      </c>
      <c r="V21" s="3">
        <v>-2</v>
      </c>
      <c r="W21" s="3">
        <v>-2.9488939000000002E-4</v>
      </c>
      <c r="X21" s="3">
        <v>2</v>
      </c>
      <c r="Y21" s="3">
        <v>4.9956811999999992E-7</v>
      </c>
      <c r="Z21" s="3">
        <v>3</v>
      </c>
      <c r="AA21" s="3">
        <v>229026320</v>
      </c>
      <c r="AB21" s="3">
        <v>-3</v>
      </c>
      <c r="AC21" s="3">
        <v>0</v>
      </c>
      <c r="AD21" s="3">
        <v>0</v>
      </c>
      <c r="AE21" s="3">
        <v>0</v>
      </c>
      <c r="AF21" s="3">
        <v>0</v>
      </c>
      <c r="AG21" s="3" t="str">
        <v/>
      </c>
      <c r="AH21" s="3" t="str">
        <v/>
      </c>
      <c r="AI21" s="3" t="str">
        <v/>
      </c>
      <c r="AJ21" s="3" t="str">
        <v/>
      </c>
      <c r="AK21" s="3" t="str">
        <v/>
      </c>
      <c r="AL21" s="3" t="str">
        <v/>
      </c>
      <c r="AM21" s="3" t="str">
        <v/>
      </c>
      <c r="AN21" s="3" t="str">
        <v/>
      </c>
      <c r="AO21" s="3" t="str">
        <v/>
      </c>
      <c r="AP21" s="3" t="str">
        <v/>
      </c>
      <c r="AQ21" s="3" t="str">
        <v/>
      </c>
      <c r="AR21" s="3" t="str">
        <v/>
      </c>
      <c r="AS21" s="3" t="str">
        <v/>
      </c>
      <c r="AT21" s="3" t="str">
        <v/>
      </c>
      <c r="AU21" s="3" t="str">
        <v/>
      </c>
      <c r="AV21" s="3" t="str">
        <v/>
      </c>
      <c r="AW21" s="3" t="str">
        <v/>
      </c>
      <c r="AX21" s="3" t="str">
        <v/>
      </c>
      <c r="AY21" s="3" t="str">
        <v/>
      </c>
      <c r="AZ21" s="3" t="str">
        <v/>
      </c>
      <c r="BA21" s="3" t="str">
        <v/>
      </c>
      <c r="BB21" s="3" t="str">
        <v/>
      </c>
      <c r="BC21" s="3" t="str">
        <v/>
      </c>
      <c r="BD21" s="3" t="str">
        <v/>
      </c>
      <c r="BE21" s="3" t="str">
        <v/>
      </c>
    </row>
    <row r="22" spans="8:57" x14ac:dyDescent="0.35">
      <c r="H22" s="3" t="str">
        <v>SiO2</v>
      </c>
      <c r="I22" s="3" t="str">
        <v>silicon dioxide</v>
      </c>
      <c r="J22" s="3" t="str">
        <v>Tridymite(l)</v>
      </c>
      <c r="K22" s="3">
        <v>-907605.16255999974</v>
      </c>
      <c r="L22" s="3">
        <v>43.770200535999997</v>
      </c>
      <c r="M22" s="3" t="str">
        <v/>
      </c>
      <c r="N22" s="3" t="str">
        <v/>
      </c>
      <c r="O22" s="3">
        <v>390.15</v>
      </c>
      <c r="P22" s="3">
        <v>3000</v>
      </c>
      <c r="Q22" s="3">
        <v>18.014500000000002</v>
      </c>
      <c r="R22" s="3">
        <v>0</v>
      </c>
      <c r="S22" s="3">
        <v>-1424018.9</v>
      </c>
      <c r="T22" s="3">
        <v>-2</v>
      </c>
      <c r="U22" s="3">
        <v>229026320</v>
      </c>
      <c r="V22" s="3">
        <v>-3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 t="str">
        <v/>
      </c>
      <c r="AH22" s="3" t="str">
        <v/>
      </c>
      <c r="AI22" s="3" t="str">
        <v/>
      </c>
      <c r="AJ22" s="3" t="str">
        <v/>
      </c>
      <c r="AK22" s="3" t="str">
        <v/>
      </c>
      <c r="AL22" s="3" t="str">
        <v/>
      </c>
      <c r="AM22" s="3" t="str">
        <v/>
      </c>
      <c r="AN22" s="3" t="str">
        <v/>
      </c>
      <c r="AO22" s="3" t="str">
        <v/>
      </c>
      <c r="AP22" s="3" t="str">
        <v/>
      </c>
      <c r="AQ22" s="3" t="str">
        <v/>
      </c>
      <c r="AR22" s="3" t="str">
        <v/>
      </c>
      <c r="AS22" s="3" t="str">
        <v/>
      </c>
      <c r="AT22" s="3" t="str">
        <v/>
      </c>
      <c r="AU22" s="3" t="str">
        <v/>
      </c>
      <c r="AV22" s="3" t="str">
        <v/>
      </c>
      <c r="AW22" s="3" t="str">
        <v/>
      </c>
      <c r="AX22" s="3" t="str">
        <v/>
      </c>
      <c r="AY22" s="3" t="str">
        <v/>
      </c>
      <c r="AZ22" s="3" t="str">
        <v/>
      </c>
      <c r="BA22" s="3" t="str">
        <v/>
      </c>
      <c r="BB22" s="3" t="str">
        <v/>
      </c>
      <c r="BC22" s="3" t="str">
        <v/>
      </c>
      <c r="BD22" s="3" t="str">
        <v/>
      </c>
      <c r="BE22" s="3" t="str">
        <v/>
      </c>
    </row>
    <row r="23" spans="8:57" x14ac:dyDescent="0.35">
      <c r="H23" s="3" t="str">
        <v>SiO2</v>
      </c>
      <c r="I23" s="3" t="str">
        <v>silicon dioxide</v>
      </c>
      <c r="J23" s="3" t="str">
        <v>Tridymite(h)</v>
      </c>
      <c r="K23" s="3">
        <v>-907045.13416000002</v>
      </c>
      <c r="L23" s="3">
        <v>45.523698199999998</v>
      </c>
      <c r="M23" s="3" t="str">
        <v/>
      </c>
      <c r="N23" s="3" t="str">
        <v/>
      </c>
      <c r="O23" s="3">
        <v>1</v>
      </c>
      <c r="P23" s="3">
        <v>50</v>
      </c>
      <c r="Q23" s="3">
        <v>7.170172084130018E-5</v>
      </c>
      <c r="R23" s="3">
        <v>3</v>
      </c>
      <c r="S23" s="3">
        <v>-1.9198852772466538E-6</v>
      </c>
      <c r="T23" s="3">
        <v>4</v>
      </c>
      <c r="U23" s="3">
        <v>1.4682791586998085E-8</v>
      </c>
      <c r="V23" s="3">
        <v>5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 t="str">
        <v>SiO2</v>
      </c>
      <c r="AH23" s="3" t="str">
        <v>silicon dioxide</v>
      </c>
      <c r="AI23" s="3" t="str">
        <v>Tridymite(h)</v>
      </c>
      <c r="AJ23" s="3">
        <v>-907045.13416000002</v>
      </c>
      <c r="AK23" s="3">
        <v>45.523698199999998</v>
      </c>
      <c r="AL23" s="3" t="str">
        <v/>
      </c>
      <c r="AM23" s="3" t="str">
        <v/>
      </c>
      <c r="AN23" s="3">
        <v>298.14999999999998</v>
      </c>
      <c r="AO23" s="3">
        <v>1991.28</v>
      </c>
      <c r="AP23" s="3">
        <v>18.014500000000002</v>
      </c>
      <c r="AQ23" s="3">
        <v>0</v>
      </c>
      <c r="AR23" s="3">
        <v>-1424018.9</v>
      </c>
      <c r="AS23" s="3">
        <v>-2</v>
      </c>
      <c r="AT23" s="3">
        <v>229026320</v>
      </c>
      <c r="AU23" s="3">
        <v>-3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</row>
    <row r="24" spans="8:57" x14ac:dyDescent="0.35">
      <c r="H24" s="3" t="str">
        <v>SiO2</v>
      </c>
      <c r="I24" s="3" t="str">
        <v>silicon dioxide</v>
      </c>
      <c r="J24" s="3" t="str">
        <v>Tridymite(h)</v>
      </c>
      <c r="K24" s="3">
        <v>-907045.13416000002</v>
      </c>
      <c r="L24" s="3">
        <v>45.523698199999998</v>
      </c>
      <c r="M24" s="3" t="str">
        <v/>
      </c>
      <c r="N24" s="3" t="str">
        <v/>
      </c>
      <c r="O24" s="3">
        <v>50</v>
      </c>
      <c r="P24" s="3">
        <v>298.14999999999998</v>
      </c>
      <c r="Q24" s="3">
        <v>-0.37936819239961761</v>
      </c>
      <c r="R24" s="3">
        <v>0</v>
      </c>
      <c r="S24" s="3">
        <v>3.1281685707456978E-2</v>
      </c>
      <c r="T24" s="3">
        <v>1</v>
      </c>
      <c r="U24" s="3">
        <v>1.9150286806883364E-4</v>
      </c>
      <c r="V24" s="3">
        <v>2</v>
      </c>
      <c r="W24" s="3">
        <v>-9.6951481835564051E-7</v>
      </c>
      <c r="X24" s="3">
        <v>3</v>
      </c>
      <c r="Y24" s="3">
        <v>1.3112356596558317E-9</v>
      </c>
      <c r="Z24" s="3">
        <v>4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 t="str">
        <v>SiO2</v>
      </c>
      <c r="AH24" s="3" t="str">
        <v>silicon dioxide</v>
      </c>
      <c r="AI24" s="3" t="str">
        <v>Tridymite(h)</v>
      </c>
      <c r="AJ24" s="3">
        <v>-907045.13416000002</v>
      </c>
      <c r="AK24" s="3">
        <v>45.523698199999998</v>
      </c>
      <c r="AL24" s="3" t="str">
        <v/>
      </c>
      <c r="AM24" s="3" t="str">
        <v/>
      </c>
      <c r="AN24" s="3">
        <v>1991.28</v>
      </c>
      <c r="AO24" s="3">
        <v>3000</v>
      </c>
      <c r="AP24" s="3">
        <v>20.5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</row>
    <row r="25" spans="8:57" x14ac:dyDescent="0.35">
      <c r="H25" s="3" t="str">
        <v>SiO2</v>
      </c>
      <c r="I25" s="3" t="str">
        <v>silicon dioxide</v>
      </c>
      <c r="J25" s="3" t="str">
        <v>Tridymite(h)</v>
      </c>
      <c r="K25" s="3">
        <v>-907045.13416000002</v>
      </c>
      <c r="L25" s="3">
        <v>45.523698199999998</v>
      </c>
      <c r="M25" s="3" t="str">
        <v/>
      </c>
      <c r="N25" s="3" t="str">
        <v/>
      </c>
      <c r="O25" s="3">
        <v>298.14999999999998</v>
      </c>
      <c r="P25" s="3">
        <v>3000</v>
      </c>
      <c r="Q25" s="3">
        <v>18.014500000000002</v>
      </c>
      <c r="R25" s="3">
        <v>0</v>
      </c>
      <c r="S25" s="3">
        <v>-1424018.9</v>
      </c>
      <c r="T25" s="3">
        <v>-2</v>
      </c>
      <c r="U25" s="3">
        <v>229026320</v>
      </c>
      <c r="V25" s="3">
        <v>-3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 t="str">
        <v/>
      </c>
      <c r="AH25" s="3" t="str">
        <v/>
      </c>
      <c r="AI25" s="3" t="str">
        <v/>
      </c>
      <c r="AJ25" s="3" t="str">
        <v/>
      </c>
      <c r="AK25" s="3" t="str">
        <v/>
      </c>
      <c r="AL25" s="3" t="str">
        <v/>
      </c>
      <c r="AM25" s="3" t="str">
        <v/>
      </c>
      <c r="AN25" s="3" t="str">
        <v/>
      </c>
      <c r="AO25" s="3" t="str">
        <v/>
      </c>
      <c r="AP25" s="3" t="str">
        <v/>
      </c>
      <c r="AQ25" s="3" t="str">
        <v/>
      </c>
      <c r="AR25" s="3" t="str">
        <v/>
      </c>
      <c r="AS25" s="3" t="str">
        <v/>
      </c>
      <c r="AT25" s="3" t="str">
        <v/>
      </c>
      <c r="AU25" s="3" t="str">
        <v/>
      </c>
      <c r="AV25" s="3" t="str">
        <v/>
      </c>
      <c r="AW25" s="3" t="str">
        <v/>
      </c>
      <c r="AX25" s="3" t="str">
        <v/>
      </c>
      <c r="AY25" s="3" t="str">
        <v/>
      </c>
      <c r="AZ25" s="3" t="str">
        <v/>
      </c>
      <c r="BA25" s="3" t="str">
        <v/>
      </c>
      <c r="BB25" s="3" t="str">
        <v/>
      </c>
      <c r="BC25" s="3" t="str">
        <v/>
      </c>
      <c r="BD25" s="3" t="str">
        <v/>
      </c>
      <c r="BE25" s="3" t="str">
        <v/>
      </c>
    </row>
    <row r="26" spans="8:57" x14ac:dyDescent="0.35">
      <c r="H26" s="3" t="str">
        <v>SiO2</v>
      </c>
      <c r="I26" s="3" t="str">
        <v>silicon dioxide</v>
      </c>
      <c r="J26" s="3" t="str">
        <v>Cristobalite(l)</v>
      </c>
      <c r="K26" s="3">
        <v>-907753.35984000005</v>
      </c>
      <c r="L26" s="3">
        <v>43.394301607999999</v>
      </c>
      <c r="M26" s="3" t="str">
        <v/>
      </c>
      <c r="N26" s="3" t="str">
        <v/>
      </c>
      <c r="O26" s="3">
        <v>1</v>
      </c>
      <c r="P26" s="3">
        <v>50</v>
      </c>
      <c r="Q26" s="3">
        <v>7.170172084130018E-5</v>
      </c>
      <c r="R26" s="3">
        <v>3</v>
      </c>
      <c r="S26" s="3">
        <v>-1.9198709369024853E-6</v>
      </c>
      <c r="T26" s="3">
        <v>4</v>
      </c>
      <c r="U26" s="3">
        <v>1.4682791586998085E-8</v>
      </c>
      <c r="V26" s="3">
        <v>5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 t="str">
        <v>SiO2</v>
      </c>
      <c r="AH26" s="3" t="str">
        <v>silicon dioxide</v>
      </c>
      <c r="AI26" s="3" t="str">
        <v>Cristobalite(l)</v>
      </c>
      <c r="AJ26" s="3">
        <v>-907753.35984000005</v>
      </c>
      <c r="AK26" s="3">
        <v>43.394301607999999</v>
      </c>
      <c r="AL26" s="3" t="str">
        <v/>
      </c>
      <c r="AM26" s="3" t="str">
        <v/>
      </c>
      <c r="AN26" s="3">
        <v>298.14999999999998</v>
      </c>
      <c r="AO26" s="3">
        <v>535.15</v>
      </c>
      <c r="AP26" s="3">
        <v>19.960228999999998</v>
      </c>
      <c r="AQ26" s="3">
        <v>0</v>
      </c>
      <c r="AR26" s="3">
        <v>4.830305E-3</v>
      </c>
      <c r="AS26" s="3">
        <v>1</v>
      </c>
      <c r="AT26" s="3">
        <v>-586845.12</v>
      </c>
      <c r="AU26" s="3">
        <v>-2</v>
      </c>
      <c r="AV26" s="3">
        <v>-2.9996699000000001E-5</v>
      </c>
      <c r="AW26" s="3">
        <v>2</v>
      </c>
      <c r="AX26" s="3">
        <v>4.6570655E-8</v>
      </c>
      <c r="AY26" s="3">
        <v>3</v>
      </c>
      <c r="AZ26" s="3">
        <v>-89.553775999999999</v>
      </c>
      <c r="BA26" s="3">
        <v>-0.5</v>
      </c>
      <c r="BB26" s="3">
        <v>66938861</v>
      </c>
      <c r="BC26" s="3">
        <v>-3</v>
      </c>
      <c r="BD26" s="3">
        <v>0</v>
      </c>
      <c r="BE26" s="3">
        <v>0</v>
      </c>
    </row>
    <row r="27" spans="8:57" x14ac:dyDescent="0.35">
      <c r="H27" s="3" t="str">
        <v>SiO2</v>
      </c>
      <c r="I27" s="3" t="str">
        <v>silicon dioxide</v>
      </c>
      <c r="J27" s="3" t="str">
        <v>Cristobalite(l)</v>
      </c>
      <c r="K27" s="3">
        <v>-907753.35984000005</v>
      </c>
      <c r="L27" s="3">
        <v>43.394301607999999</v>
      </c>
      <c r="M27" s="3" t="str">
        <v/>
      </c>
      <c r="N27" s="3" t="str">
        <v/>
      </c>
      <c r="O27" s="3">
        <v>50</v>
      </c>
      <c r="P27" s="3">
        <v>298.14999999999998</v>
      </c>
      <c r="Q27" s="3">
        <v>-0.37936819239961761</v>
      </c>
      <c r="R27" s="3">
        <v>0</v>
      </c>
      <c r="S27" s="3">
        <v>3.1281685707456978E-2</v>
      </c>
      <c r="T27" s="3">
        <v>1</v>
      </c>
      <c r="U27" s="3">
        <v>1.9150286806883364E-4</v>
      </c>
      <c r="V27" s="3">
        <v>2</v>
      </c>
      <c r="W27" s="3">
        <v>-9.6951481835564051E-7</v>
      </c>
      <c r="X27" s="3">
        <v>3</v>
      </c>
      <c r="Y27" s="3">
        <v>1.3260133843212236E-9</v>
      </c>
      <c r="Z27" s="3">
        <v>4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 t="str">
        <v>SiO2</v>
      </c>
      <c r="AH27" s="3" t="str">
        <v>silicon dioxide</v>
      </c>
      <c r="AI27" s="3" t="str">
        <v>Cristobalite(l)</v>
      </c>
      <c r="AJ27" s="3">
        <v>-907753.35984000005</v>
      </c>
      <c r="AK27" s="3">
        <v>43.394301607999999</v>
      </c>
      <c r="AL27" s="3" t="str">
        <v/>
      </c>
      <c r="AM27" s="3" t="str">
        <v/>
      </c>
      <c r="AN27" s="3">
        <v>535.15</v>
      </c>
      <c r="AO27" s="3">
        <v>537.15</v>
      </c>
      <c r="AP27" s="3">
        <v>0.01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</row>
    <row r="28" spans="8:57" x14ac:dyDescent="0.35">
      <c r="H28" s="3" t="str">
        <v>SiO2</v>
      </c>
      <c r="I28" s="3" t="str">
        <v>silicon dioxide</v>
      </c>
      <c r="J28" s="3" t="str">
        <v>Cristobalite(l)</v>
      </c>
      <c r="K28" s="3">
        <v>-907753.35984000005</v>
      </c>
      <c r="L28" s="3">
        <v>43.394301607999999</v>
      </c>
      <c r="M28" s="3" t="str">
        <v/>
      </c>
      <c r="N28" s="3" t="str">
        <v/>
      </c>
      <c r="O28" s="3">
        <v>298.14999999999998</v>
      </c>
      <c r="P28" s="3">
        <v>535.15</v>
      </c>
      <c r="Q28" s="3">
        <v>19.960228999999998</v>
      </c>
      <c r="R28" s="3">
        <v>0</v>
      </c>
      <c r="S28" s="3">
        <v>4.830305E-3</v>
      </c>
      <c r="T28" s="3">
        <v>1</v>
      </c>
      <c r="U28" s="3">
        <v>-586845.12</v>
      </c>
      <c r="V28" s="3">
        <v>-2</v>
      </c>
      <c r="W28" s="3">
        <v>-2.9996698999999998E-5</v>
      </c>
      <c r="X28" s="3">
        <v>2</v>
      </c>
      <c r="Y28" s="3">
        <v>4.6570655E-8</v>
      </c>
      <c r="Z28" s="3">
        <v>3</v>
      </c>
      <c r="AA28" s="3">
        <v>-89.553775999999999</v>
      </c>
      <c r="AB28" s="3">
        <v>-0.5</v>
      </c>
      <c r="AC28" s="3">
        <v>66938861</v>
      </c>
      <c r="AD28" s="3">
        <v>-3</v>
      </c>
      <c r="AE28" s="3">
        <v>0</v>
      </c>
      <c r="AF28" s="3">
        <v>0</v>
      </c>
      <c r="AG28" s="3" t="str">
        <v/>
      </c>
      <c r="AH28" s="3" t="str">
        <v/>
      </c>
      <c r="AI28" s="3" t="str">
        <v/>
      </c>
      <c r="AJ28" s="3" t="str">
        <v/>
      </c>
      <c r="AK28" s="3" t="str">
        <v/>
      </c>
      <c r="AL28" s="3" t="str">
        <v/>
      </c>
      <c r="AM28" s="3" t="str">
        <v/>
      </c>
      <c r="AN28" s="3" t="str">
        <v/>
      </c>
      <c r="AO28" s="3" t="str">
        <v/>
      </c>
      <c r="AP28" s="3" t="str">
        <v/>
      </c>
      <c r="AQ28" s="3" t="str">
        <v/>
      </c>
      <c r="AR28" s="3" t="str">
        <v/>
      </c>
      <c r="AS28" s="3" t="str">
        <v/>
      </c>
      <c r="AT28" s="3" t="str">
        <v/>
      </c>
      <c r="AU28" s="3" t="str">
        <v/>
      </c>
      <c r="AV28" s="3" t="str">
        <v/>
      </c>
      <c r="AW28" s="3" t="str">
        <v/>
      </c>
      <c r="AX28" s="3" t="str">
        <v/>
      </c>
      <c r="AY28" s="3" t="str">
        <v/>
      </c>
      <c r="AZ28" s="3" t="str">
        <v/>
      </c>
      <c r="BA28" s="3" t="str">
        <v/>
      </c>
      <c r="BB28" s="3" t="str">
        <v/>
      </c>
      <c r="BC28" s="3" t="str">
        <v/>
      </c>
      <c r="BD28" s="3" t="str">
        <v/>
      </c>
      <c r="BE28" s="3" t="str">
        <v/>
      </c>
    </row>
    <row r="29" spans="8:57" x14ac:dyDescent="0.35">
      <c r="H29" s="3" t="str">
        <v>SiO2</v>
      </c>
      <c r="I29" s="3" t="str">
        <v>silicon dioxide</v>
      </c>
      <c r="J29" s="3" t="str">
        <v>Cristobalite(l)</v>
      </c>
      <c r="K29" s="3">
        <v>-907753.35984000005</v>
      </c>
      <c r="L29" s="3">
        <v>43.394301607999999</v>
      </c>
      <c r="M29" s="3" t="str">
        <v/>
      </c>
      <c r="N29" s="3" t="str">
        <v/>
      </c>
      <c r="O29" s="3">
        <v>535.15</v>
      </c>
      <c r="P29" s="3">
        <v>3000</v>
      </c>
      <c r="Q29" s="3">
        <v>19.960228999999998</v>
      </c>
      <c r="R29" s="3">
        <v>0</v>
      </c>
      <c r="S29" s="3">
        <v>-586845.12</v>
      </c>
      <c r="T29" s="3">
        <v>-2</v>
      </c>
      <c r="U29" s="3">
        <v>-89.553775999999999</v>
      </c>
      <c r="V29" s="3">
        <v>-0.5</v>
      </c>
      <c r="W29" s="3">
        <v>66938861</v>
      </c>
      <c r="X29" s="3">
        <v>-3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 t="str">
        <v/>
      </c>
      <c r="AH29" s="3" t="str">
        <v/>
      </c>
      <c r="AI29" s="3" t="str">
        <v/>
      </c>
      <c r="AJ29" s="3" t="str">
        <v/>
      </c>
      <c r="AK29" s="3" t="str">
        <v/>
      </c>
      <c r="AL29" s="3" t="str">
        <v/>
      </c>
      <c r="AM29" s="3" t="str">
        <v/>
      </c>
      <c r="AN29" s="3" t="str">
        <v/>
      </c>
      <c r="AO29" s="3" t="str">
        <v/>
      </c>
      <c r="AP29" s="3" t="str">
        <v/>
      </c>
      <c r="AQ29" s="3" t="str">
        <v/>
      </c>
      <c r="AR29" s="3" t="str">
        <v/>
      </c>
      <c r="AS29" s="3" t="str">
        <v/>
      </c>
      <c r="AT29" s="3" t="str">
        <v/>
      </c>
      <c r="AU29" s="3" t="str">
        <v/>
      </c>
      <c r="AV29" s="3" t="str">
        <v/>
      </c>
      <c r="AW29" s="3" t="str">
        <v/>
      </c>
      <c r="AX29" s="3" t="str">
        <v/>
      </c>
      <c r="AY29" s="3" t="str">
        <v/>
      </c>
      <c r="AZ29" s="3" t="str">
        <v/>
      </c>
      <c r="BA29" s="3" t="str">
        <v/>
      </c>
      <c r="BB29" s="3" t="str">
        <v/>
      </c>
      <c r="BC29" s="3" t="str">
        <v/>
      </c>
      <c r="BD29" s="3" t="str">
        <v/>
      </c>
      <c r="BE29" s="3" t="str">
        <v/>
      </c>
    </row>
    <row r="30" spans="8:57" x14ac:dyDescent="0.35">
      <c r="H30" s="3" t="str">
        <v>SiO2</v>
      </c>
      <c r="I30" s="3" t="str">
        <v>silicon dioxide</v>
      </c>
      <c r="J30" s="3" t="str">
        <v>Cristobalite(h)</v>
      </c>
      <c r="K30" s="3">
        <v>-906377.2296879997</v>
      </c>
      <c r="L30" s="3">
        <v>46.028799048000003</v>
      </c>
      <c r="M30" s="3" t="str">
        <v/>
      </c>
      <c r="N30" s="3" t="str">
        <v/>
      </c>
      <c r="O30" s="3">
        <v>1</v>
      </c>
      <c r="P30" s="3">
        <v>50</v>
      </c>
      <c r="Q30" s="3">
        <v>7.170172084130018E-5</v>
      </c>
      <c r="R30" s="3">
        <v>3</v>
      </c>
      <c r="S30" s="3">
        <v>-1.9198781070745697E-6</v>
      </c>
      <c r="T30" s="3">
        <v>4</v>
      </c>
      <c r="U30" s="3">
        <v>1.4682791586998085E-8</v>
      </c>
      <c r="V30" s="3">
        <v>5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 t="str">
        <v>SiO2</v>
      </c>
      <c r="AH30" s="3" t="str">
        <v>silicon dioxide</v>
      </c>
      <c r="AI30" s="3" t="str">
        <v>Cristobalite(h)</v>
      </c>
      <c r="AJ30" s="3">
        <v>-906377.2296879997</v>
      </c>
      <c r="AK30" s="3">
        <v>46.028799048000003</v>
      </c>
      <c r="AL30" s="3" t="str">
        <v/>
      </c>
      <c r="AM30" s="3" t="str">
        <v/>
      </c>
      <c r="AN30" s="3">
        <v>298.14999999999998</v>
      </c>
      <c r="AO30" s="3">
        <v>1995.99</v>
      </c>
      <c r="AP30" s="3">
        <v>19.960228999999998</v>
      </c>
      <c r="AQ30" s="3">
        <v>0</v>
      </c>
      <c r="AR30" s="3">
        <v>-586845.12</v>
      </c>
      <c r="AS30" s="3">
        <v>-2</v>
      </c>
      <c r="AT30" s="3">
        <v>-89.553775999999999</v>
      </c>
      <c r="AU30" s="3">
        <v>-0.5</v>
      </c>
      <c r="AV30" s="3">
        <v>66938861</v>
      </c>
      <c r="AW30" s="3">
        <v>-3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</row>
    <row r="31" spans="8:57" x14ac:dyDescent="0.35">
      <c r="H31" s="3" t="str">
        <v>SiO2</v>
      </c>
      <c r="I31" s="3" t="str">
        <v>silicon dioxide</v>
      </c>
      <c r="J31" s="3" t="str">
        <v>Cristobalite(h)</v>
      </c>
      <c r="K31" s="3">
        <v>-906377.2296879997</v>
      </c>
      <c r="L31" s="3">
        <v>46.028799048000003</v>
      </c>
      <c r="M31" s="3" t="str">
        <v/>
      </c>
      <c r="N31" s="3" t="str">
        <v/>
      </c>
      <c r="O31" s="3">
        <v>50</v>
      </c>
      <c r="P31" s="3">
        <v>298.14999999999998</v>
      </c>
      <c r="Q31" s="3">
        <v>-0.37936819239961761</v>
      </c>
      <c r="R31" s="3">
        <v>0</v>
      </c>
      <c r="S31" s="3">
        <v>3.1281685707456978E-2</v>
      </c>
      <c r="T31" s="3">
        <v>1</v>
      </c>
      <c r="U31" s="3">
        <v>1.9150286806883364E-4</v>
      </c>
      <c r="V31" s="3">
        <v>2</v>
      </c>
      <c r="W31" s="3">
        <v>-9.6951481835564051E-7</v>
      </c>
      <c r="X31" s="3">
        <v>3</v>
      </c>
      <c r="Y31" s="3">
        <v>1.319000956022944E-9</v>
      </c>
      <c r="Z31" s="3">
        <v>4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 t="str">
        <v>SiO2</v>
      </c>
      <c r="AH31" s="3" t="str">
        <v>silicon dioxide</v>
      </c>
      <c r="AI31" s="3" t="str">
        <v>Cristobalite(h)</v>
      </c>
      <c r="AJ31" s="3">
        <v>-906377.2296879997</v>
      </c>
      <c r="AK31" s="3">
        <v>46.028799048000003</v>
      </c>
      <c r="AL31" s="3" t="str">
        <v/>
      </c>
      <c r="AM31" s="3" t="str">
        <v/>
      </c>
      <c r="AN31" s="3">
        <v>1995.99</v>
      </c>
      <c r="AO31" s="3">
        <v>3000</v>
      </c>
      <c r="AP31" s="3">
        <v>20.5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</row>
    <row r="32" spans="8:57" x14ac:dyDescent="0.35">
      <c r="H32" s="3" t="str">
        <v>SiO2</v>
      </c>
      <c r="I32" s="3" t="str">
        <v>silicon dioxide</v>
      </c>
      <c r="J32" s="3" t="str">
        <v>Cristobalite(h)</v>
      </c>
      <c r="K32" s="3">
        <v>-906377.2296879997</v>
      </c>
      <c r="L32" s="3">
        <v>46.028799048000003</v>
      </c>
      <c r="M32" s="3" t="str">
        <v/>
      </c>
      <c r="N32" s="3" t="str">
        <v/>
      </c>
      <c r="O32" s="3">
        <v>298.14999999999998</v>
      </c>
      <c r="P32" s="3">
        <v>3000</v>
      </c>
      <c r="Q32" s="3">
        <v>19.960228999999998</v>
      </c>
      <c r="R32" s="3">
        <v>0</v>
      </c>
      <c r="S32" s="3">
        <v>-586845.12</v>
      </c>
      <c r="T32" s="3">
        <v>-2</v>
      </c>
      <c r="U32" s="3">
        <v>-89.553775999999999</v>
      </c>
      <c r="V32" s="3">
        <v>-0.5</v>
      </c>
      <c r="W32" s="3">
        <v>66938861</v>
      </c>
      <c r="X32" s="3">
        <v>-3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 t="str">
        <v/>
      </c>
      <c r="AH32" s="3" t="str">
        <v/>
      </c>
      <c r="AI32" s="3" t="str">
        <v/>
      </c>
      <c r="AJ32" s="3" t="str">
        <v/>
      </c>
      <c r="AK32" s="3" t="str">
        <v/>
      </c>
      <c r="AL32" s="3" t="str">
        <v/>
      </c>
      <c r="AM32" s="3" t="str">
        <v/>
      </c>
      <c r="AN32" s="3" t="str">
        <v/>
      </c>
      <c r="AO32" s="3" t="str">
        <v/>
      </c>
      <c r="AP32" s="3" t="str">
        <v/>
      </c>
      <c r="AQ32" s="3" t="str">
        <v/>
      </c>
      <c r="AR32" s="3" t="str">
        <v/>
      </c>
      <c r="AS32" s="3" t="str">
        <v/>
      </c>
      <c r="AT32" s="3" t="str">
        <v/>
      </c>
      <c r="AU32" s="3" t="str">
        <v/>
      </c>
      <c r="AV32" s="3" t="str">
        <v/>
      </c>
      <c r="AW32" s="3" t="str">
        <v/>
      </c>
      <c r="AX32" s="3" t="str">
        <v/>
      </c>
      <c r="AY32" s="3" t="str">
        <v/>
      </c>
      <c r="AZ32" s="3" t="str">
        <v/>
      </c>
      <c r="BA32" s="3" t="str">
        <v/>
      </c>
      <c r="BB32" s="3" t="str">
        <v/>
      </c>
      <c r="BC32" s="3" t="str">
        <v/>
      </c>
      <c r="BD32" s="3" t="str">
        <v/>
      </c>
      <c r="BE32" s="3" t="str">
        <v/>
      </c>
    </row>
    <row r="33" spans="8:57" x14ac:dyDescent="0.35">
      <c r="H33" s="3" t="str">
        <v>SiO2</v>
      </c>
      <c r="I33" s="3" t="str">
        <v>silicon dioxide</v>
      </c>
      <c r="J33" s="3" t="str">
        <v>coesite</v>
      </c>
      <c r="K33" s="3">
        <v>-906898.73600000003</v>
      </c>
      <c r="L33" s="3">
        <v>40.499998687999998</v>
      </c>
      <c r="M33" s="3" t="str">
        <v/>
      </c>
      <c r="N33" s="3" t="str">
        <v/>
      </c>
      <c r="O33" s="3">
        <v>1</v>
      </c>
      <c r="P33" s="3">
        <v>50</v>
      </c>
      <c r="Q33" s="3">
        <v>2.3259560229445505E-5</v>
      </c>
      <c r="R33" s="3">
        <v>3</v>
      </c>
      <c r="S33" s="3">
        <v>-2.760874760994264E-7</v>
      </c>
      <c r="T33" s="3">
        <v>4</v>
      </c>
      <c r="U33" s="3">
        <v>1.3166993307839387E-10</v>
      </c>
      <c r="V33" s="3">
        <v>5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 t="str">
        <v>SiO2</v>
      </c>
      <c r="AH33" s="3" t="str">
        <v>silicon dioxide</v>
      </c>
      <c r="AI33" s="3" t="str">
        <v>coesite</v>
      </c>
      <c r="AJ33" s="3">
        <v>-906898.73600000003</v>
      </c>
      <c r="AK33" s="3">
        <v>40.499998687999998</v>
      </c>
      <c r="AL33" s="3" t="str">
        <v/>
      </c>
      <c r="AM33" s="3" t="str">
        <v/>
      </c>
      <c r="AN33" s="3">
        <v>298.14999999999998</v>
      </c>
      <c r="AO33" s="3">
        <v>3000</v>
      </c>
      <c r="AP33" s="3">
        <v>18.64245</v>
      </c>
      <c r="AQ33" s="3">
        <v>0</v>
      </c>
      <c r="AR33" s="3">
        <v>-740918</v>
      </c>
      <c r="AS33" s="3">
        <v>-2</v>
      </c>
      <c r="AT33" s="3">
        <v>140009600</v>
      </c>
      <c r="AU33" s="3">
        <v>-3</v>
      </c>
      <c r="AV33" s="3">
        <v>-1598.7090000000001</v>
      </c>
      <c r="AW33" s="3">
        <v>-1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</row>
    <row r="34" spans="8:57" x14ac:dyDescent="0.35">
      <c r="H34" s="3" t="str">
        <v>SiO2</v>
      </c>
      <c r="I34" s="3" t="str">
        <v>silicon dioxide</v>
      </c>
      <c r="J34" s="3" t="str">
        <v>coesite</v>
      </c>
      <c r="K34" s="3">
        <v>-906898.73600000003</v>
      </c>
      <c r="L34" s="3">
        <v>40.499998687999998</v>
      </c>
      <c r="M34" s="3" t="str">
        <v/>
      </c>
      <c r="N34" s="3" t="str">
        <v/>
      </c>
      <c r="O34" s="3">
        <v>50</v>
      </c>
      <c r="P34" s="3">
        <v>298.14999999999998</v>
      </c>
      <c r="Q34" s="3">
        <v>0.13324038671128105</v>
      </c>
      <c r="R34" s="3">
        <v>0</v>
      </c>
      <c r="S34" s="3">
        <v>3.3460946462715108E-4</v>
      </c>
      <c r="T34" s="3">
        <v>1</v>
      </c>
      <c r="U34" s="3">
        <v>5.4502581261950281E-4</v>
      </c>
      <c r="V34" s="3">
        <v>2</v>
      </c>
      <c r="W34" s="3">
        <v>-2.423852772466539E-6</v>
      </c>
      <c r="X34" s="3">
        <v>3</v>
      </c>
      <c r="Y34" s="3">
        <v>3.286974187380497E-9</v>
      </c>
      <c r="Z34" s="3">
        <v>4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 t="str">
        <v/>
      </c>
      <c r="AH34" s="3" t="str">
        <v/>
      </c>
      <c r="AI34" s="3" t="str">
        <v/>
      </c>
      <c r="AJ34" s="3" t="str">
        <v/>
      </c>
      <c r="AK34" s="3" t="str">
        <v/>
      </c>
      <c r="AL34" s="3" t="str">
        <v/>
      </c>
      <c r="AM34" s="3" t="str">
        <v/>
      </c>
      <c r="AN34" s="3" t="str">
        <v/>
      </c>
      <c r="AO34" s="3" t="str">
        <v/>
      </c>
      <c r="AP34" s="3" t="str">
        <v/>
      </c>
      <c r="AQ34" s="3" t="str">
        <v/>
      </c>
      <c r="AR34" s="3" t="str">
        <v/>
      </c>
      <c r="AS34" s="3" t="str">
        <v/>
      </c>
      <c r="AT34" s="3" t="str">
        <v/>
      </c>
      <c r="AU34" s="3" t="str">
        <v/>
      </c>
      <c r="AV34" s="3" t="str">
        <v/>
      </c>
      <c r="AW34" s="3" t="str">
        <v/>
      </c>
      <c r="AX34" s="3" t="str">
        <v/>
      </c>
      <c r="AY34" s="3" t="str">
        <v/>
      </c>
      <c r="AZ34" s="3" t="str">
        <v/>
      </c>
      <c r="BA34" s="3" t="str">
        <v/>
      </c>
      <c r="BB34" s="3" t="str">
        <v/>
      </c>
      <c r="BC34" s="3" t="str">
        <v/>
      </c>
      <c r="BD34" s="3" t="str">
        <v/>
      </c>
      <c r="BE34" s="3" t="str">
        <v/>
      </c>
    </row>
    <row r="35" spans="8:57" x14ac:dyDescent="0.35">
      <c r="H35" s="3" t="str">
        <v>SiO2</v>
      </c>
      <c r="I35" s="3" t="str">
        <v>silicon dioxide</v>
      </c>
      <c r="J35" s="3" t="str">
        <v>coesite</v>
      </c>
      <c r="K35" s="3">
        <v>-906898.73600000003</v>
      </c>
      <c r="L35" s="3">
        <v>40.499998687999998</v>
      </c>
      <c r="M35" s="3" t="str">
        <v/>
      </c>
      <c r="N35" s="3" t="str">
        <v/>
      </c>
      <c r="O35" s="3">
        <v>298.14999999999998</v>
      </c>
      <c r="P35" s="3">
        <v>3000</v>
      </c>
      <c r="Q35" s="3">
        <v>18.857552581261949</v>
      </c>
      <c r="R35" s="3">
        <v>0</v>
      </c>
      <c r="S35" s="3">
        <v>-1210564.0535372845</v>
      </c>
      <c r="T35" s="3">
        <v>-2</v>
      </c>
      <c r="U35" s="3">
        <v>-39.077437858508603</v>
      </c>
      <c r="V35" s="3">
        <v>-0.5</v>
      </c>
      <c r="W35" s="3">
        <v>197179732.31357551</v>
      </c>
      <c r="X35" s="3">
        <v>-3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 t="str">
        <v/>
      </c>
      <c r="AH35" s="3" t="str">
        <v/>
      </c>
      <c r="AI35" s="3" t="str">
        <v/>
      </c>
      <c r="AJ35" s="3" t="str">
        <v/>
      </c>
      <c r="AK35" s="3" t="str">
        <v/>
      </c>
      <c r="AL35" s="3" t="str">
        <v/>
      </c>
      <c r="AM35" s="3" t="str">
        <v/>
      </c>
      <c r="AN35" s="3" t="str">
        <v/>
      </c>
      <c r="AO35" s="3" t="str">
        <v/>
      </c>
      <c r="AP35" s="3" t="str">
        <v/>
      </c>
      <c r="AQ35" s="3" t="str">
        <v/>
      </c>
      <c r="AR35" s="3" t="str">
        <v/>
      </c>
      <c r="AS35" s="3" t="str">
        <v/>
      </c>
      <c r="AT35" s="3" t="str">
        <v/>
      </c>
      <c r="AU35" s="3" t="str">
        <v/>
      </c>
      <c r="AV35" s="3" t="str">
        <v/>
      </c>
      <c r="AW35" s="3" t="str">
        <v/>
      </c>
      <c r="AX35" s="3" t="str">
        <v/>
      </c>
      <c r="AY35" s="3" t="str">
        <v/>
      </c>
      <c r="AZ35" s="3" t="str">
        <v/>
      </c>
      <c r="BA35" s="3" t="str">
        <v/>
      </c>
      <c r="BB35" s="3" t="str">
        <v/>
      </c>
      <c r="BC35" s="3" t="str">
        <v/>
      </c>
      <c r="BD35" s="3" t="str">
        <v/>
      </c>
      <c r="BE35" s="3" t="str">
        <v/>
      </c>
    </row>
    <row r="36" spans="8:57" x14ac:dyDescent="0.35">
      <c r="H36" s="3" t="str">
        <v>SiO2</v>
      </c>
      <c r="I36" s="3" t="str">
        <v>silicon dioxide</v>
      </c>
      <c r="J36" s="3" t="str">
        <v>stishovite</v>
      </c>
      <c r="K36" s="3">
        <v>-864000.18400000001</v>
      </c>
      <c r="L36" s="3">
        <v>29.499999095999993</v>
      </c>
      <c r="M36" s="3" t="str">
        <v/>
      </c>
      <c r="N36" s="3" t="str">
        <v/>
      </c>
      <c r="O36" s="3">
        <v>1</v>
      </c>
      <c r="P36" s="3">
        <v>50</v>
      </c>
      <c r="Q36" s="3">
        <v>1.2340846080305923E-5</v>
      </c>
      <c r="R36" s="3">
        <v>3</v>
      </c>
      <c r="S36" s="3">
        <v>-3.3412523900573614E-7</v>
      </c>
      <c r="T36" s="3">
        <v>4</v>
      </c>
      <c r="U36" s="3">
        <v>2.839435946462715E-9</v>
      </c>
      <c r="V36" s="3">
        <v>5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 t="str">
        <v>SiO2</v>
      </c>
      <c r="AH36" s="3" t="str">
        <v>silicon dioxide</v>
      </c>
      <c r="AI36" s="3" t="str">
        <v>stishovite</v>
      </c>
      <c r="AJ36" s="3">
        <v>-864000.18400000001</v>
      </c>
      <c r="AK36" s="3">
        <v>29.499999095999993</v>
      </c>
      <c r="AL36" s="3" t="str">
        <v/>
      </c>
      <c r="AM36" s="3" t="str">
        <v/>
      </c>
      <c r="AN36" s="3">
        <v>298.14999999999998</v>
      </c>
      <c r="AO36" s="3">
        <v>3000</v>
      </c>
      <c r="AP36" s="3">
        <v>13.89101</v>
      </c>
      <c r="AQ36" s="3">
        <v>0</v>
      </c>
      <c r="AR36" s="3">
        <v>1.6735179999999999E-3</v>
      </c>
      <c r="AS36" s="3">
        <v>1</v>
      </c>
      <c r="AT36" s="3">
        <v>-3008840</v>
      </c>
      <c r="AU36" s="3">
        <v>-2</v>
      </c>
      <c r="AV36" s="3">
        <v>428489000</v>
      </c>
      <c r="AW36" s="3">
        <v>-3</v>
      </c>
      <c r="AX36" s="3">
        <v>4065.4899999999993</v>
      </c>
      <c r="AY36" s="3">
        <v>-1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</row>
    <row r="37" spans="8:57" x14ac:dyDescent="0.35">
      <c r="H37" s="3" t="str">
        <v>SiO2</v>
      </c>
      <c r="I37" s="3" t="str">
        <v>silicon dioxide</v>
      </c>
      <c r="J37" s="3" t="str">
        <v>stishovite</v>
      </c>
      <c r="K37" s="3">
        <v>-864000.18400000001</v>
      </c>
      <c r="L37" s="3">
        <v>29.499999095999993</v>
      </c>
      <c r="M37" s="3" t="str">
        <v/>
      </c>
      <c r="N37" s="3" t="str">
        <v/>
      </c>
      <c r="O37" s="3">
        <v>50</v>
      </c>
      <c r="P37" s="3">
        <v>298.14999999999998</v>
      </c>
      <c r="Q37" s="3">
        <v>0.59331653489483738</v>
      </c>
      <c r="R37" s="3">
        <v>0</v>
      </c>
      <c r="S37" s="3">
        <v>-2.7677728250478009E-2</v>
      </c>
      <c r="T37" s="3">
        <v>1</v>
      </c>
      <c r="U37" s="3">
        <v>5.2043881453154868E-4</v>
      </c>
      <c r="V37" s="3">
        <v>2</v>
      </c>
      <c r="W37" s="3">
        <v>-1.4245482791586999E-6</v>
      </c>
      <c r="X37" s="3">
        <v>3</v>
      </c>
      <c r="Y37" s="3">
        <v>1.1718714149139577E-9</v>
      </c>
      <c r="Z37" s="3">
        <v>4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 t="str">
        <v/>
      </c>
      <c r="AH37" s="3" t="str">
        <v/>
      </c>
      <c r="AI37" s="3" t="str">
        <v/>
      </c>
      <c r="AJ37" s="3" t="str">
        <v/>
      </c>
      <c r="AK37" s="3" t="str">
        <v/>
      </c>
      <c r="AL37" s="3" t="str">
        <v/>
      </c>
      <c r="AM37" s="3" t="str">
        <v/>
      </c>
      <c r="AN37" s="3" t="str">
        <v/>
      </c>
      <c r="AO37" s="3" t="str">
        <v/>
      </c>
      <c r="AP37" s="3" t="str">
        <v/>
      </c>
      <c r="AQ37" s="3" t="str">
        <v/>
      </c>
      <c r="AR37" s="3" t="str">
        <v/>
      </c>
      <c r="AS37" s="3" t="str">
        <v/>
      </c>
      <c r="AT37" s="3" t="str">
        <v/>
      </c>
      <c r="AU37" s="3" t="str">
        <v/>
      </c>
      <c r="AV37" s="3" t="str">
        <v/>
      </c>
      <c r="AW37" s="3" t="str">
        <v/>
      </c>
      <c r="AX37" s="3" t="str">
        <v/>
      </c>
      <c r="AY37" s="3" t="str">
        <v/>
      </c>
      <c r="AZ37" s="3" t="str">
        <v/>
      </c>
      <c r="BA37" s="3" t="str">
        <v/>
      </c>
      <c r="BB37" s="3" t="str">
        <v/>
      </c>
      <c r="BC37" s="3" t="str">
        <v/>
      </c>
      <c r="BD37" s="3" t="str">
        <v/>
      </c>
      <c r="BE37" s="3" t="str">
        <v/>
      </c>
    </row>
    <row r="38" spans="8:57" x14ac:dyDescent="0.35">
      <c r="H38" s="3" t="str">
        <v>SiO2</v>
      </c>
      <c r="I38" s="3" t="str">
        <v>silicon dioxide</v>
      </c>
      <c r="J38" s="3" t="str">
        <v>stishovite</v>
      </c>
      <c r="K38" s="3">
        <v>-864000.18400000001</v>
      </c>
      <c r="L38" s="3">
        <v>29.499999095999993</v>
      </c>
      <c r="M38" s="3" t="str">
        <v/>
      </c>
      <c r="N38" s="3" t="str">
        <v/>
      </c>
      <c r="O38" s="3">
        <v>298.14999999999998</v>
      </c>
      <c r="P38" s="3">
        <v>3000</v>
      </c>
      <c r="Q38" s="3">
        <v>20.5019120458891</v>
      </c>
      <c r="R38" s="3">
        <v>0</v>
      </c>
      <c r="S38" s="3">
        <v>-861615.67877629062</v>
      </c>
      <c r="T38" s="3">
        <v>-2</v>
      </c>
      <c r="U38" s="3">
        <v>-82.576481835564053</v>
      </c>
      <c r="V38" s="3">
        <v>-0.5</v>
      </c>
      <c r="W38" s="3">
        <v>107815487.57170172</v>
      </c>
      <c r="X38" s="3">
        <v>-3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 t="str">
        <v/>
      </c>
      <c r="AH38" s="3" t="str">
        <v/>
      </c>
      <c r="AI38" s="3" t="str">
        <v/>
      </c>
      <c r="AJ38" s="3" t="str">
        <v/>
      </c>
      <c r="AK38" s="3" t="str">
        <v/>
      </c>
      <c r="AL38" s="3" t="str">
        <v/>
      </c>
      <c r="AM38" s="3" t="str">
        <v/>
      </c>
      <c r="AN38" s="3" t="str">
        <v/>
      </c>
      <c r="AO38" s="3" t="str">
        <v/>
      </c>
      <c r="AP38" s="3" t="str">
        <v/>
      </c>
      <c r="AQ38" s="3" t="str">
        <v/>
      </c>
      <c r="AR38" s="3" t="str">
        <v/>
      </c>
      <c r="AS38" s="3" t="str">
        <v/>
      </c>
      <c r="AT38" s="3" t="str">
        <v/>
      </c>
      <c r="AU38" s="3" t="str">
        <v/>
      </c>
      <c r="AV38" s="3" t="str">
        <v/>
      </c>
      <c r="AW38" s="3" t="str">
        <v/>
      </c>
      <c r="AX38" s="3" t="str">
        <v/>
      </c>
      <c r="AY38" s="3" t="str">
        <v/>
      </c>
      <c r="AZ38" s="3" t="str">
        <v/>
      </c>
      <c r="BA38" s="3" t="str">
        <v/>
      </c>
      <c r="BB38" s="3" t="str">
        <v/>
      </c>
      <c r="BC38" s="3" t="str">
        <v/>
      </c>
      <c r="BD38" s="3" t="str">
        <v/>
      </c>
      <c r="BE38" s="3" t="str">
        <v/>
      </c>
    </row>
    <row r="39" spans="8:57" x14ac:dyDescent="0.35">
      <c r="H39" s="3" t="str">
        <v>SiO2</v>
      </c>
      <c r="I39" s="3" t="str">
        <v>silicon dioxide</v>
      </c>
      <c r="J39" s="3" t="str">
        <v>Liquid</v>
      </c>
      <c r="K39" s="3">
        <v>-906391.44940000004</v>
      </c>
      <c r="L39" s="3">
        <v>43.415806400000001</v>
      </c>
      <c r="M39" s="3" t="str">
        <v/>
      </c>
      <c r="N39" s="3" t="str">
        <v/>
      </c>
      <c r="O39" s="3">
        <v>1</v>
      </c>
      <c r="P39" s="3">
        <v>50</v>
      </c>
      <c r="Q39" s="3">
        <v>7.170172084130018E-5</v>
      </c>
      <c r="R39" s="3">
        <v>3</v>
      </c>
      <c r="S39" s="3">
        <v>-1.9198709369024853E-6</v>
      </c>
      <c r="T39" s="3">
        <v>4</v>
      </c>
      <c r="U39" s="3">
        <v>1.4682791586998085E-8</v>
      </c>
      <c r="V39" s="3">
        <v>5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 t="str">
        <v>SiO2</v>
      </c>
      <c r="AH39" s="3" t="str">
        <v>silicon dioxide</v>
      </c>
      <c r="AI39" s="3" t="str">
        <v>Liquid</v>
      </c>
      <c r="AJ39" s="3">
        <v>-896795.86968799995</v>
      </c>
      <c r="AK39" s="3">
        <v>50.829102248000005</v>
      </c>
      <c r="AL39" s="3" t="str">
        <v/>
      </c>
      <c r="AM39" s="3" t="str">
        <v/>
      </c>
      <c r="AN39" s="3">
        <v>298.14999999999998</v>
      </c>
      <c r="AO39" s="3">
        <v>1995.99</v>
      </c>
      <c r="AP39" s="3">
        <v>19.960228999999998</v>
      </c>
      <c r="AQ39" s="3">
        <v>0</v>
      </c>
      <c r="AR39" s="3">
        <v>-586845.12</v>
      </c>
      <c r="AS39" s="3">
        <v>-2</v>
      </c>
      <c r="AT39" s="3">
        <v>-89.553775999999999</v>
      </c>
      <c r="AU39" s="3">
        <v>-0.5</v>
      </c>
      <c r="AV39" s="3">
        <v>66938861</v>
      </c>
      <c r="AW39" s="3">
        <v>-3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</row>
    <row r="40" spans="8:57" x14ac:dyDescent="0.35">
      <c r="H40" s="3" t="str">
        <v>SiO2</v>
      </c>
      <c r="I40" s="3" t="str">
        <v>silicon dioxide</v>
      </c>
      <c r="J40" s="3" t="str">
        <v>Liquid</v>
      </c>
      <c r="K40" s="3">
        <v>-906391.44940000004</v>
      </c>
      <c r="L40" s="3">
        <v>43.415806400000001</v>
      </c>
      <c r="M40" s="3" t="str">
        <v/>
      </c>
      <c r="N40" s="3" t="str">
        <v/>
      </c>
      <c r="O40" s="3">
        <v>50</v>
      </c>
      <c r="P40" s="3">
        <v>298.14999999999998</v>
      </c>
      <c r="Q40" s="3">
        <v>-0.37936819239961761</v>
      </c>
      <c r="R40" s="3">
        <v>0</v>
      </c>
      <c r="S40" s="3">
        <v>3.1281685707456978E-2</v>
      </c>
      <c r="T40" s="3">
        <v>1</v>
      </c>
      <c r="U40" s="3">
        <v>1.9150286806883364E-4</v>
      </c>
      <c r="V40" s="3">
        <v>2</v>
      </c>
      <c r="W40" s="3">
        <v>-9.6951481835564051E-7</v>
      </c>
      <c r="X40" s="3">
        <v>3</v>
      </c>
      <c r="Y40" s="3">
        <v>1.3187093690248562E-9</v>
      </c>
      <c r="Z40" s="3">
        <v>4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 t="str">
        <v>SiO2</v>
      </c>
      <c r="AH40" s="3" t="str">
        <v>silicon dioxide</v>
      </c>
      <c r="AI40" s="3" t="str">
        <v>Liquid</v>
      </c>
      <c r="AJ40" s="3">
        <v>-896795.86968799995</v>
      </c>
      <c r="AK40" s="3">
        <v>50.829102248000005</v>
      </c>
      <c r="AL40" s="3" t="str">
        <v/>
      </c>
      <c r="AM40" s="3" t="str">
        <v/>
      </c>
      <c r="AN40" s="3">
        <v>1995.99</v>
      </c>
      <c r="AO40" s="3">
        <v>3000</v>
      </c>
      <c r="AP40" s="3">
        <v>20.5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</row>
    <row r="41" spans="8:57" x14ac:dyDescent="0.35">
      <c r="H41" s="3" t="str">
        <v>SiO2</v>
      </c>
      <c r="I41" s="3" t="str">
        <v>silicon dioxide</v>
      </c>
      <c r="J41" s="3" t="str">
        <v>Liquid</v>
      </c>
      <c r="K41" s="3">
        <v>-906391.44940000004</v>
      </c>
      <c r="L41" s="3">
        <v>43.415806400000001</v>
      </c>
      <c r="M41" s="3" t="str">
        <v/>
      </c>
      <c r="N41" s="3" t="str">
        <v/>
      </c>
      <c r="O41" s="3">
        <v>298.14999999999998</v>
      </c>
      <c r="P41" s="3">
        <v>3500</v>
      </c>
      <c r="Q41" s="3">
        <v>-50.164984703632889</v>
      </c>
      <c r="R41" s="3">
        <v>0</v>
      </c>
      <c r="S41" s="3">
        <v>-3.7247426410133844E-2</v>
      </c>
      <c r="T41" s="3">
        <v>1</v>
      </c>
      <c r="U41" s="3">
        <v>-312450.22729445505</v>
      </c>
      <c r="V41" s="3">
        <v>-2</v>
      </c>
      <c r="W41" s="3">
        <v>2.2057265301147228E-6</v>
      </c>
      <c r="X41" s="3">
        <v>2</v>
      </c>
      <c r="Y41" s="3">
        <v>-699.16442184512425</v>
      </c>
      <c r="Z41" s="3">
        <v>-1</v>
      </c>
      <c r="AA41" s="3">
        <v>2.7876181405353728</v>
      </c>
      <c r="AB41" s="3">
        <v>0.5</v>
      </c>
      <c r="AC41" s="3">
        <v>509.30412810707458</v>
      </c>
      <c r="AD41" s="3">
        <v>-0.5</v>
      </c>
      <c r="AE41" s="3">
        <v>0</v>
      </c>
      <c r="AF41" s="3">
        <v>0</v>
      </c>
      <c r="AG41" s="3" t="str">
        <v/>
      </c>
      <c r="AH41" s="3" t="str">
        <v/>
      </c>
      <c r="AI41" s="3" t="str">
        <v/>
      </c>
      <c r="AJ41" s="3" t="str">
        <v/>
      </c>
      <c r="AK41" s="3" t="str">
        <v/>
      </c>
      <c r="AL41" s="3" t="str">
        <v/>
      </c>
      <c r="AM41" s="3" t="str">
        <v/>
      </c>
      <c r="AN41" s="3" t="str">
        <v/>
      </c>
      <c r="AO41" s="3" t="str">
        <v/>
      </c>
      <c r="AP41" s="3" t="str">
        <v/>
      </c>
      <c r="AQ41" s="3" t="str">
        <v/>
      </c>
      <c r="AR41" s="3" t="str">
        <v/>
      </c>
      <c r="AS41" s="3" t="str">
        <v/>
      </c>
      <c r="AT41" s="3" t="str">
        <v/>
      </c>
      <c r="AU41" s="3" t="str">
        <v/>
      </c>
      <c r="AV41" s="3" t="str">
        <v/>
      </c>
      <c r="AW41" s="3" t="str">
        <v/>
      </c>
      <c r="AX41" s="3" t="str">
        <v/>
      </c>
      <c r="AY41" s="3" t="str">
        <v/>
      </c>
      <c r="AZ41" s="3" t="str">
        <v/>
      </c>
      <c r="BA41" s="3" t="str">
        <v/>
      </c>
      <c r="BB41" s="3" t="str">
        <v/>
      </c>
      <c r="BC41" s="3" t="str">
        <v/>
      </c>
      <c r="BD41" s="3" t="str">
        <v/>
      </c>
      <c r="BE41" s="3" t="str">
        <v/>
      </c>
    </row>
    <row r="42" spans="8:57" x14ac:dyDescent="0.35">
      <c r="H42" s="3" t="str">
        <v>SiO2</v>
      </c>
      <c r="I42" s="3" t="str">
        <v>silicon dioxide</v>
      </c>
      <c r="J42" s="3" t="str">
        <v>Liquid</v>
      </c>
      <c r="K42" s="3">
        <v>-906391.44940000004</v>
      </c>
      <c r="L42" s="3">
        <v>43.415806400000001</v>
      </c>
      <c r="M42" s="3" t="str">
        <v/>
      </c>
      <c r="N42" s="3" t="str">
        <v/>
      </c>
      <c r="O42" s="3">
        <v>3500</v>
      </c>
      <c r="P42" s="3">
        <v>9000</v>
      </c>
      <c r="Q42" s="3">
        <v>19.790391969407263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 t="str">
        <v/>
      </c>
      <c r="AH42" s="3" t="str">
        <v/>
      </c>
      <c r="AI42" s="3" t="str">
        <v/>
      </c>
      <c r="AJ42" s="3" t="str">
        <v/>
      </c>
      <c r="AK42" s="3" t="str">
        <v/>
      </c>
      <c r="AL42" s="3" t="str">
        <v/>
      </c>
      <c r="AM42" s="3" t="str">
        <v/>
      </c>
      <c r="AN42" s="3" t="str">
        <v/>
      </c>
      <c r="AO42" s="3" t="str">
        <v/>
      </c>
      <c r="AP42" s="3" t="str">
        <v/>
      </c>
      <c r="AQ42" s="3" t="str">
        <v/>
      </c>
      <c r="AR42" s="3" t="str">
        <v/>
      </c>
      <c r="AS42" s="3" t="str">
        <v/>
      </c>
      <c r="AT42" s="3" t="str">
        <v/>
      </c>
      <c r="AU42" s="3" t="str">
        <v/>
      </c>
      <c r="AV42" s="3" t="str">
        <v/>
      </c>
      <c r="AW42" s="3" t="str">
        <v/>
      </c>
      <c r="AX42" s="3" t="str">
        <v/>
      </c>
      <c r="AY42" s="3" t="str">
        <v/>
      </c>
      <c r="AZ42" s="3" t="str">
        <v/>
      </c>
      <c r="BA42" s="3" t="str">
        <v/>
      </c>
      <c r="BB42" s="3" t="str">
        <v/>
      </c>
      <c r="BC42" s="3" t="str">
        <v/>
      </c>
      <c r="BD42" s="3" t="str">
        <v/>
      </c>
      <c r="BE42" s="3" t="str">
        <v/>
      </c>
    </row>
    <row r="43" spans="8:57" x14ac:dyDescent="0.35">
      <c r="H43" s="3" t="str">
        <v>CaO</v>
      </c>
      <c r="I43" s="3" t="str">
        <v>Calcium oxide</v>
      </c>
      <c r="J43" s="3" t="str">
        <v>Lime</v>
      </c>
      <c r="K43" s="3">
        <v>-635089.99596800003</v>
      </c>
      <c r="L43" s="3">
        <v>38.1</v>
      </c>
      <c r="M43" s="3" t="str">
        <v/>
      </c>
      <c r="N43" s="3" t="str">
        <v/>
      </c>
      <c r="O43" s="3">
        <v>1</v>
      </c>
      <c r="P43" s="3">
        <v>50</v>
      </c>
      <c r="Q43" s="3">
        <v>4.737595602294455E-6</v>
      </c>
      <c r="R43" s="3">
        <v>3</v>
      </c>
      <c r="S43" s="3">
        <v>6.0642208413001906E-9</v>
      </c>
      <c r="T43" s="3">
        <v>4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 t="str">
        <v>CaO</v>
      </c>
      <c r="AH43" s="3" t="str">
        <v>Calcium oxide</v>
      </c>
      <c r="AI43" s="3" t="str">
        <v>Lime</v>
      </c>
      <c r="AJ43" s="3">
        <v>-635089.99596800003</v>
      </c>
      <c r="AK43" s="3">
        <v>37.749996070400002</v>
      </c>
      <c r="AL43" s="3" t="str">
        <v/>
      </c>
      <c r="AM43" s="3" t="str">
        <v/>
      </c>
      <c r="AN43" s="3">
        <v>298.14999999999998</v>
      </c>
      <c r="AO43" s="3">
        <v>2845.16</v>
      </c>
      <c r="AP43" s="3">
        <v>14.051427</v>
      </c>
      <c r="AQ43" s="3">
        <v>0</v>
      </c>
      <c r="AR43" s="3">
        <v>-274174.46999999997</v>
      </c>
      <c r="AS43" s="3">
        <v>-2</v>
      </c>
      <c r="AT43" s="3">
        <v>-32.003824000000002</v>
      </c>
      <c r="AU43" s="3">
        <v>-0.5</v>
      </c>
      <c r="AV43" s="3">
        <v>24612521</v>
      </c>
      <c r="AW43" s="3">
        <v>-3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</row>
    <row r="44" spans="8:57" x14ac:dyDescent="0.35">
      <c r="H44" s="3" t="str">
        <v>CaO</v>
      </c>
      <c r="I44" s="3" t="str">
        <v>Calcium oxide</v>
      </c>
      <c r="J44" s="3" t="str">
        <v>Lime</v>
      </c>
      <c r="K44" s="3">
        <v>-635089.99596800003</v>
      </c>
      <c r="L44" s="3">
        <v>38.1</v>
      </c>
      <c r="M44" s="3" t="str">
        <v/>
      </c>
      <c r="N44" s="3" t="str">
        <v/>
      </c>
      <c r="O44" s="3">
        <v>50</v>
      </c>
      <c r="P44" s="3">
        <v>298.14999999999998</v>
      </c>
      <c r="Q44" s="3">
        <v>-1.6145490497131929</v>
      </c>
      <c r="R44" s="3">
        <v>0</v>
      </c>
      <c r="S44" s="3">
        <v>2.9333788957934988E-2</v>
      </c>
      <c r="T44" s="3">
        <v>1</v>
      </c>
      <c r="U44" s="3">
        <v>4.0358389101338428E-4</v>
      </c>
      <c r="V44" s="3">
        <v>2</v>
      </c>
      <c r="W44" s="3">
        <v>-2.1338097514340342E-6</v>
      </c>
      <c r="X44" s="3">
        <v>3</v>
      </c>
      <c r="Y44" s="3">
        <v>2.9682122370936902E-9</v>
      </c>
      <c r="Z44" s="3">
        <v>4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 t="str">
        <v>CaO</v>
      </c>
      <c r="AH44" s="3" t="str">
        <v>Calcium oxide</v>
      </c>
      <c r="AI44" s="3" t="str">
        <v>Lime</v>
      </c>
      <c r="AJ44" s="3">
        <v>-635089.99596800003</v>
      </c>
      <c r="AK44" s="3">
        <v>37.749996070400002</v>
      </c>
      <c r="AL44" s="3" t="str">
        <v/>
      </c>
      <c r="AM44" s="3" t="str">
        <v/>
      </c>
      <c r="AN44" s="3">
        <v>2845.16</v>
      </c>
      <c r="AO44" s="3">
        <v>3500</v>
      </c>
      <c r="AP44" s="3">
        <v>15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</row>
    <row r="45" spans="8:57" x14ac:dyDescent="0.35">
      <c r="H45" s="3" t="str">
        <v>CaO</v>
      </c>
      <c r="I45" s="3" t="str">
        <v>Calcium oxide</v>
      </c>
      <c r="J45" s="3" t="str">
        <v>Lime</v>
      </c>
      <c r="K45" s="3">
        <v>-635089.99596800003</v>
      </c>
      <c r="L45" s="3">
        <v>38.1</v>
      </c>
      <c r="M45" s="3" t="str">
        <v/>
      </c>
      <c r="N45" s="3" t="str">
        <v/>
      </c>
      <c r="O45" s="3">
        <v>298.14999999999998</v>
      </c>
      <c r="P45" s="3">
        <v>3500</v>
      </c>
      <c r="Q45" s="3">
        <v>62.387224200000006</v>
      </c>
      <c r="R45" s="3">
        <v>0</v>
      </c>
      <c r="S45" s="3">
        <v>3.2285824800000001E-2</v>
      </c>
      <c r="T45" s="3">
        <v>1</v>
      </c>
      <c r="U45" s="3">
        <v>715897.53299999994</v>
      </c>
      <c r="V45" s="3">
        <v>-2</v>
      </c>
      <c r="W45" s="3">
        <v>-1.6550893999999999E-6</v>
      </c>
      <c r="X45" s="3">
        <v>2</v>
      </c>
      <c r="Y45" s="3">
        <v>-9189.8366900000001</v>
      </c>
      <c r="Z45" s="3">
        <v>-1</v>
      </c>
      <c r="AA45" s="3">
        <v>-2.2695904200000001</v>
      </c>
      <c r="AB45" s="3">
        <v>0.5</v>
      </c>
      <c r="AC45" s="3">
        <v>0</v>
      </c>
      <c r="AD45" s="3">
        <v>0</v>
      </c>
      <c r="AE45" s="3">
        <v>0</v>
      </c>
      <c r="AF45" s="3">
        <v>0</v>
      </c>
      <c r="AG45" s="3" t="str">
        <v/>
      </c>
      <c r="AH45" s="3" t="str">
        <v/>
      </c>
      <c r="AI45" s="3" t="str">
        <v/>
      </c>
      <c r="AJ45" s="3" t="str">
        <v/>
      </c>
      <c r="AK45" s="3" t="str">
        <v/>
      </c>
      <c r="AL45" s="3" t="str">
        <v/>
      </c>
      <c r="AM45" s="3" t="str">
        <v/>
      </c>
      <c r="AN45" s="3" t="str">
        <v/>
      </c>
      <c r="AO45" s="3" t="str">
        <v/>
      </c>
      <c r="AP45" s="3" t="str">
        <v/>
      </c>
      <c r="AQ45" s="3" t="str">
        <v/>
      </c>
      <c r="AR45" s="3" t="str">
        <v/>
      </c>
      <c r="AS45" s="3" t="str">
        <v/>
      </c>
      <c r="AT45" s="3" t="str">
        <v/>
      </c>
      <c r="AU45" s="3" t="str">
        <v/>
      </c>
      <c r="AV45" s="3" t="str">
        <v/>
      </c>
      <c r="AW45" s="3" t="str">
        <v/>
      </c>
      <c r="AX45" s="3" t="str">
        <v/>
      </c>
      <c r="AY45" s="3" t="str">
        <v/>
      </c>
      <c r="AZ45" s="3" t="str">
        <v/>
      </c>
      <c r="BA45" s="3" t="str">
        <v/>
      </c>
      <c r="BB45" s="3" t="str">
        <v/>
      </c>
      <c r="BC45" s="3" t="str">
        <v/>
      </c>
      <c r="BD45" s="3" t="str">
        <v/>
      </c>
      <c r="BE45" s="3" t="str">
        <v/>
      </c>
    </row>
    <row r="46" spans="8:57" x14ac:dyDescent="0.35">
      <c r="H46" s="3" t="str">
        <v>CaO</v>
      </c>
      <c r="I46" s="3" t="str">
        <v>Calcium oxide</v>
      </c>
      <c r="J46" s="3" t="str">
        <v>Liquid</v>
      </c>
      <c r="K46" s="3">
        <v>-588139.99999999988</v>
      </c>
      <c r="L46" s="3">
        <v>38.1</v>
      </c>
      <c r="M46" s="3" t="str">
        <v/>
      </c>
      <c r="N46" s="3" t="str">
        <v/>
      </c>
      <c r="O46" s="3">
        <v>1</v>
      </c>
      <c r="P46" s="3">
        <v>50</v>
      </c>
      <c r="Q46" s="3">
        <v>4.737595602294455E-6</v>
      </c>
      <c r="R46" s="3">
        <v>3</v>
      </c>
      <c r="S46" s="3">
        <v>6.0642208413001906E-9</v>
      </c>
      <c r="T46" s="3">
        <v>4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 t="str">
        <v>CaO</v>
      </c>
      <c r="AH46" s="3" t="str">
        <v>Calcium oxide</v>
      </c>
      <c r="AI46" s="3" t="str">
        <v>Liquid</v>
      </c>
      <c r="AJ46" s="3">
        <v>-555593.99596800003</v>
      </c>
      <c r="AK46" s="3">
        <v>65.690758112000012</v>
      </c>
      <c r="AL46" s="3" t="str">
        <v/>
      </c>
      <c r="AM46" s="3" t="str">
        <v/>
      </c>
      <c r="AN46" s="3">
        <v>298.14999999999998</v>
      </c>
      <c r="AO46" s="3">
        <v>2845.16</v>
      </c>
      <c r="AP46" s="3">
        <v>14.051427</v>
      </c>
      <c r="AQ46" s="3">
        <v>0</v>
      </c>
      <c r="AR46" s="3">
        <v>-274174.46999999997</v>
      </c>
      <c r="AS46" s="3">
        <v>-2</v>
      </c>
      <c r="AT46" s="3">
        <v>-32.003824000000002</v>
      </c>
      <c r="AU46" s="3">
        <v>-0.5</v>
      </c>
      <c r="AV46" s="3">
        <v>24612521</v>
      </c>
      <c r="AW46" s="3">
        <v>-3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</row>
    <row r="47" spans="8:57" x14ac:dyDescent="0.35">
      <c r="H47" s="3" t="str">
        <v>CaO</v>
      </c>
      <c r="I47" s="3" t="str">
        <v>Calcium oxide</v>
      </c>
      <c r="J47" s="3" t="str">
        <v>Liquid</v>
      </c>
      <c r="K47" s="3">
        <v>-588139.99999999988</v>
      </c>
      <c r="L47" s="3">
        <v>38.1</v>
      </c>
      <c r="M47" s="3" t="str">
        <v/>
      </c>
      <c r="N47" s="3" t="str">
        <v/>
      </c>
      <c r="O47" s="3">
        <v>50</v>
      </c>
      <c r="P47" s="3">
        <v>298.14999999999998</v>
      </c>
      <c r="Q47" s="3">
        <v>-1.6145490497131929</v>
      </c>
      <c r="R47" s="3">
        <v>0</v>
      </c>
      <c r="S47" s="3">
        <v>2.9333788957934988E-2</v>
      </c>
      <c r="T47" s="3">
        <v>1</v>
      </c>
      <c r="U47" s="3">
        <v>4.0358389101338428E-4</v>
      </c>
      <c r="V47" s="3">
        <v>2</v>
      </c>
      <c r="W47" s="3">
        <v>-2.1338097514340342E-6</v>
      </c>
      <c r="X47" s="3">
        <v>3</v>
      </c>
      <c r="Y47" s="3">
        <v>2.9682122370936902E-9</v>
      </c>
      <c r="Z47" s="3">
        <v>4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 t="str">
        <v>CaO</v>
      </c>
      <c r="AH47" s="3" t="str">
        <v>Calcium oxide</v>
      </c>
      <c r="AI47" s="3" t="str">
        <v>Liquid</v>
      </c>
      <c r="AJ47" s="3">
        <v>-555593.99596800003</v>
      </c>
      <c r="AK47" s="3">
        <v>65.690758112000012</v>
      </c>
      <c r="AL47" s="3" t="str">
        <v/>
      </c>
      <c r="AM47" s="3" t="str">
        <v/>
      </c>
      <c r="AN47" s="3">
        <v>2845.16</v>
      </c>
      <c r="AO47" s="3">
        <v>3500</v>
      </c>
      <c r="AP47" s="3">
        <v>15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</row>
    <row r="48" spans="8:57" x14ac:dyDescent="0.35">
      <c r="H48" s="3" t="str">
        <v>CaO</v>
      </c>
      <c r="I48" s="3" t="str">
        <v>Calcium oxide</v>
      </c>
      <c r="J48" s="3" t="str">
        <v>Liquid</v>
      </c>
      <c r="K48" s="3">
        <v>-588139.99999999988</v>
      </c>
      <c r="L48" s="3">
        <v>38.1</v>
      </c>
      <c r="M48" s="3" t="str">
        <v/>
      </c>
      <c r="N48" s="3" t="str">
        <v/>
      </c>
      <c r="O48" s="3">
        <v>298.14999999999998</v>
      </c>
      <c r="P48" s="3">
        <v>1473.15</v>
      </c>
      <c r="Q48" s="3">
        <v>-8.1754199737093689</v>
      </c>
      <c r="R48" s="3">
        <v>0</v>
      </c>
      <c r="S48" s="3">
        <v>3.0961694072657742E-2</v>
      </c>
      <c r="T48" s="3">
        <v>1</v>
      </c>
      <c r="U48" s="3">
        <v>-598281.5915391969</v>
      </c>
      <c r="V48" s="3">
        <v>-2</v>
      </c>
      <c r="W48" s="3">
        <v>-9.8475143403441691E-6</v>
      </c>
      <c r="X48" s="3">
        <v>2</v>
      </c>
      <c r="Y48" s="3">
        <v>4907.1977533460804</v>
      </c>
      <c r="Z48" s="3">
        <v>-1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 t="str">
        <v/>
      </c>
      <c r="AH48" s="3" t="str">
        <v/>
      </c>
      <c r="AI48" s="3" t="str">
        <v/>
      </c>
      <c r="AJ48" s="3" t="str">
        <v/>
      </c>
      <c r="AK48" s="3" t="str">
        <v/>
      </c>
      <c r="AL48" s="3" t="str">
        <v/>
      </c>
      <c r="AM48" s="3" t="str">
        <v/>
      </c>
      <c r="AN48" s="3" t="str">
        <v/>
      </c>
      <c r="AO48" s="3" t="str">
        <v/>
      </c>
      <c r="AP48" s="3" t="str">
        <v/>
      </c>
      <c r="AQ48" s="3" t="str">
        <v/>
      </c>
      <c r="AR48" s="3" t="str">
        <v/>
      </c>
      <c r="AS48" s="3" t="str">
        <v/>
      </c>
      <c r="AT48" s="3" t="str">
        <v/>
      </c>
      <c r="AU48" s="3" t="str">
        <v/>
      </c>
      <c r="AV48" s="3" t="str">
        <v/>
      </c>
      <c r="AW48" s="3" t="str">
        <v/>
      </c>
      <c r="AX48" s="3" t="str">
        <v/>
      </c>
      <c r="AY48" s="3" t="str">
        <v/>
      </c>
      <c r="AZ48" s="3" t="str">
        <v/>
      </c>
      <c r="BA48" s="3" t="str">
        <v/>
      </c>
      <c r="BB48" s="3" t="str">
        <v/>
      </c>
      <c r="BC48" s="3" t="str">
        <v/>
      </c>
      <c r="BD48" s="3" t="str">
        <v/>
      </c>
      <c r="BE48" s="3" t="str">
        <v/>
      </c>
    </row>
    <row r="49" spans="8:57" x14ac:dyDescent="0.35">
      <c r="H49" s="3" t="str">
        <v>CaO</v>
      </c>
      <c r="I49" s="3" t="str">
        <v>Calcium oxide</v>
      </c>
      <c r="J49" s="3" t="str">
        <v>Liquid</v>
      </c>
      <c r="K49" s="3">
        <v>-588139.99999999988</v>
      </c>
      <c r="L49" s="3">
        <v>38.1</v>
      </c>
      <c r="M49" s="3" t="str">
        <v/>
      </c>
      <c r="N49" s="3" t="str">
        <v/>
      </c>
      <c r="O49" s="3">
        <v>1473.15</v>
      </c>
      <c r="P49" s="3">
        <v>6000</v>
      </c>
      <c r="Q49" s="3">
        <v>19.120458891013385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 t="str">
        <v/>
      </c>
      <c r="AH49" s="3" t="str">
        <v/>
      </c>
      <c r="AI49" s="3" t="str">
        <v/>
      </c>
      <c r="AJ49" s="3" t="str">
        <v/>
      </c>
      <c r="AK49" s="3" t="str">
        <v/>
      </c>
      <c r="AL49" s="3" t="str">
        <v/>
      </c>
      <c r="AM49" s="3" t="str">
        <v/>
      </c>
      <c r="AN49" s="3" t="str">
        <v/>
      </c>
      <c r="AO49" s="3" t="str">
        <v/>
      </c>
      <c r="AP49" s="3" t="str">
        <v/>
      </c>
      <c r="AQ49" s="3" t="str">
        <v/>
      </c>
      <c r="AR49" s="3" t="str">
        <v/>
      </c>
      <c r="AS49" s="3" t="str">
        <v/>
      </c>
      <c r="AT49" s="3" t="str">
        <v/>
      </c>
      <c r="AU49" s="3" t="str">
        <v/>
      </c>
      <c r="AV49" s="3" t="str">
        <v/>
      </c>
      <c r="AW49" s="3" t="str">
        <v/>
      </c>
      <c r="AX49" s="3" t="str">
        <v/>
      </c>
      <c r="AY49" s="3" t="str">
        <v/>
      </c>
      <c r="AZ49" s="3" t="str">
        <v/>
      </c>
      <c r="BA49" s="3" t="str">
        <v/>
      </c>
      <c r="BB49" s="3" t="str">
        <v/>
      </c>
      <c r="BC49" s="3" t="str">
        <v/>
      </c>
      <c r="BD49" s="3" t="str">
        <v/>
      </c>
      <c r="BE49" s="3" t="str">
        <v/>
      </c>
    </row>
    <row r="50" spans="8:57" x14ac:dyDescent="0.35">
      <c r="H50" s="3" t="str">
        <v>CaSiO3</v>
      </c>
      <c r="I50" s="3" t="str">
        <v>Calcium metasilicate</v>
      </c>
      <c r="J50" s="3" t="str">
        <v>Wollastonite</v>
      </c>
      <c r="K50" s="3">
        <v>-1634675.9939999999</v>
      </c>
      <c r="L50" s="3">
        <v>81.544260144000006</v>
      </c>
      <c r="M50" s="3" t="str">
        <v/>
      </c>
      <c r="N50" s="3" t="str">
        <v/>
      </c>
      <c r="O50" s="3">
        <v>1</v>
      </c>
      <c r="P50" s="3">
        <v>50</v>
      </c>
      <c r="Q50" s="3">
        <v>1.8153824091778203E-5</v>
      </c>
      <c r="R50" s="3">
        <v>3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 t="str">
        <v>CaSiO3</v>
      </c>
      <c r="AH50" s="3" t="str">
        <v>Calcium metasilicate</v>
      </c>
      <c r="AI50" s="3" t="str">
        <v>Wollastonite</v>
      </c>
      <c r="AJ50" s="3">
        <v>-1634676.41536</v>
      </c>
      <c r="AK50" s="3">
        <v>79.814260144000002</v>
      </c>
      <c r="AL50" s="3" t="str">
        <v/>
      </c>
      <c r="AM50" s="3" t="str">
        <v/>
      </c>
      <c r="AN50" s="3">
        <v>298.14999999999998</v>
      </c>
      <c r="AO50" s="3">
        <v>2000</v>
      </c>
      <c r="AP50" s="3">
        <v>35.629221000000001</v>
      </c>
      <c r="AQ50" s="3">
        <v>0</v>
      </c>
      <c r="AR50" s="3">
        <v>-874605.16</v>
      </c>
      <c r="AS50" s="3">
        <v>-2</v>
      </c>
      <c r="AT50" s="3">
        <v>-164.98446000000001</v>
      </c>
      <c r="AU50" s="3">
        <v>-0.5</v>
      </c>
      <c r="AV50" s="3">
        <v>115762290.00000001</v>
      </c>
      <c r="AW50" s="3">
        <v>-3</v>
      </c>
      <c r="AX50" s="3">
        <v>0</v>
      </c>
      <c r="AY50" s="3">
        <v>0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0</v>
      </c>
    </row>
    <row r="51" spans="8:57" x14ac:dyDescent="0.35">
      <c r="H51" s="3" t="str">
        <v>CaSiO3</v>
      </c>
      <c r="I51" s="3" t="str">
        <v>Calcium metasilicate</v>
      </c>
      <c r="J51" s="3" t="str">
        <v>Wollastonite</v>
      </c>
      <c r="K51" s="3">
        <v>-1634675.9939999999</v>
      </c>
      <c r="L51" s="3">
        <v>81.544260144000006</v>
      </c>
      <c r="M51" s="3" t="str">
        <v/>
      </c>
      <c r="N51" s="3" t="str">
        <v/>
      </c>
      <c r="O51" s="3">
        <v>50</v>
      </c>
      <c r="P51" s="3">
        <v>298.14999999999998</v>
      </c>
      <c r="Q51" s="3">
        <v>-4.481294108508604</v>
      </c>
      <c r="R51" s="3">
        <v>0</v>
      </c>
      <c r="S51" s="3">
        <v>0.14790490893881444</v>
      </c>
      <c r="T51" s="3">
        <v>1</v>
      </c>
      <c r="U51" s="3">
        <v>-2.6679063097514343E-4</v>
      </c>
      <c r="V51" s="3">
        <v>2</v>
      </c>
      <c r="W51" s="3">
        <v>1.770489961759082E-7</v>
      </c>
      <c r="X51" s="3">
        <v>3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 t="str">
        <v>CaSiO3</v>
      </c>
      <c r="AH51" s="3" t="str">
        <v>Calcium metasilicate</v>
      </c>
      <c r="AI51" s="3" t="str">
        <v>Wollastonite</v>
      </c>
      <c r="AJ51" s="3">
        <v>-1634676.41536</v>
      </c>
      <c r="AK51" s="3">
        <v>79.814260144000002</v>
      </c>
      <c r="AL51" s="3" t="str">
        <v/>
      </c>
      <c r="AM51" s="3" t="str">
        <v/>
      </c>
      <c r="AN51" s="3">
        <v>2000</v>
      </c>
      <c r="AO51" s="3">
        <v>2002</v>
      </c>
      <c r="AP51" s="3">
        <v>35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0</v>
      </c>
    </row>
    <row r="52" spans="8:57" x14ac:dyDescent="0.35">
      <c r="H52" s="3" t="str">
        <v>CaSiO3</v>
      </c>
      <c r="I52" s="3" t="str">
        <v>Calcium metasilicate</v>
      </c>
      <c r="J52" s="3" t="str">
        <v>Wollastonite</v>
      </c>
      <c r="K52" s="3">
        <v>-1634675.9939999999</v>
      </c>
      <c r="L52" s="3">
        <v>81.544260144000006</v>
      </c>
      <c r="M52" s="3" t="str">
        <v/>
      </c>
      <c r="N52" s="3" t="str">
        <v/>
      </c>
      <c r="O52" s="3">
        <v>298.14999999999998</v>
      </c>
      <c r="P52" s="3">
        <v>3000</v>
      </c>
      <c r="Q52" s="3">
        <v>35.02820267686424</v>
      </c>
      <c r="R52" s="3">
        <v>0</v>
      </c>
      <c r="S52" s="3">
        <v>-1002772.4665391969</v>
      </c>
      <c r="T52" s="3">
        <v>-2</v>
      </c>
      <c r="U52" s="3">
        <v>-144.13432122370935</v>
      </c>
      <c r="V52" s="3">
        <v>-0.5</v>
      </c>
      <c r="W52" s="3">
        <v>137762906.30975142</v>
      </c>
      <c r="X52" s="3">
        <v>-3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 t="str">
        <v/>
      </c>
      <c r="AH52" s="3" t="str">
        <v/>
      </c>
      <c r="AI52" s="3" t="str">
        <v/>
      </c>
      <c r="AJ52" s="3" t="str">
        <v/>
      </c>
      <c r="AK52" s="3" t="str">
        <v/>
      </c>
      <c r="AL52" s="3" t="str">
        <v/>
      </c>
      <c r="AM52" s="3" t="str">
        <v/>
      </c>
      <c r="AN52" s="3" t="str">
        <v/>
      </c>
      <c r="AO52" s="3" t="str">
        <v/>
      </c>
      <c r="AP52" s="3" t="str">
        <v/>
      </c>
      <c r="AQ52" s="3" t="str">
        <v/>
      </c>
      <c r="AR52" s="3" t="str">
        <v/>
      </c>
      <c r="AS52" s="3" t="str">
        <v/>
      </c>
      <c r="AT52" s="3" t="str">
        <v/>
      </c>
      <c r="AU52" s="3" t="str">
        <v/>
      </c>
      <c r="AV52" s="3" t="str">
        <v/>
      </c>
      <c r="AW52" s="3" t="str">
        <v/>
      </c>
      <c r="AX52" s="3" t="str">
        <v/>
      </c>
      <c r="AY52" s="3" t="str">
        <v/>
      </c>
      <c r="AZ52" s="3" t="str">
        <v/>
      </c>
      <c r="BA52" s="3" t="str">
        <v/>
      </c>
      <c r="BB52" s="3" t="str">
        <v/>
      </c>
      <c r="BC52" s="3" t="str">
        <v/>
      </c>
      <c r="BD52" s="3" t="str">
        <v/>
      </c>
      <c r="BE52" s="3" t="str">
        <v/>
      </c>
    </row>
    <row r="53" spans="8:57" x14ac:dyDescent="0.35">
      <c r="H53" s="3" t="str">
        <v>CaSiO3</v>
      </c>
      <c r="I53" s="3" t="str">
        <v>Calcium metasilicate</v>
      </c>
      <c r="J53" s="3" t="str">
        <v>Ps-wollastonite</v>
      </c>
      <c r="K53" s="3">
        <v>-1627327.0449999999</v>
      </c>
      <c r="L53" s="3">
        <v>87.19</v>
      </c>
      <c r="M53" s="3" t="str">
        <v/>
      </c>
      <c r="N53" s="3" t="str">
        <v/>
      </c>
      <c r="O53" s="3">
        <v>1</v>
      </c>
      <c r="P53" s="3">
        <v>50</v>
      </c>
      <c r="Q53" s="3">
        <v>2.2177724665391968E-5</v>
      </c>
      <c r="R53" s="3">
        <v>3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 t="str">
        <v>CaSiO3</v>
      </c>
      <c r="AH53" s="3" t="str">
        <v>Calcium metasilicate</v>
      </c>
      <c r="AI53" s="3" t="str">
        <v>Ps-wollastonite</v>
      </c>
      <c r="AJ53" s="3">
        <v>-1625506.5559439999</v>
      </c>
      <c r="AK53" s="3">
        <v>86.936460336799996</v>
      </c>
      <c r="AL53" s="3" t="str">
        <v/>
      </c>
      <c r="AM53" s="3" t="str">
        <v/>
      </c>
      <c r="AN53" s="3">
        <v>298.14999999999998</v>
      </c>
      <c r="AO53" s="3">
        <v>1813</v>
      </c>
      <c r="AP53" s="3">
        <v>33.737120000000004</v>
      </c>
      <c r="AQ53" s="3">
        <v>0</v>
      </c>
      <c r="AR53" s="3">
        <v>-1399998.8</v>
      </c>
      <c r="AS53" s="3">
        <v>-2</v>
      </c>
      <c r="AT53" s="3">
        <v>-99.720841000000007</v>
      </c>
      <c r="AU53" s="3">
        <v>-0.5</v>
      </c>
      <c r="AV53" s="3">
        <v>224841050.00000003</v>
      </c>
      <c r="AW53" s="3">
        <v>-3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0</v>
      </c>
    </row>
    <row r="54" spans="8:57" x14ac:dyDescent="0.35">
      <c r="H54" s="3" t="str">
        <v>CaSiO3</v>
      </c>
      <c r="I54" s="3" t="str">
        <v>Calcium metasilicate</v>
      </c>
      <c r="J54" s="3" t="str">
        <v>Ps-wollastonite</v>
      </c>
      <c r="K54" s="3">
        <v>-1627327.0449999999</v>
      </c>
      <c r="L54" s="3">
        <v>87.19</v>
      </c>
      <c r="M54" s="3" t="str">
        <v/>
      </c>
      <c r="N54" s="3" t="str">
        <v/>
      </c>
      <c r="O54" s="3">
        <v>50</v>
      </c>
      <c r="P54" s="3">
        <v>298.14999999999998</v>
      </c>
      <c r="Q54" s="3">
        <v>-4.3785216419694066</v>
      </c>
      <c r="R54" s="3">
        <v>0</v>
      </c>
      <c r="S54" s="3">
        <v>0.15752494956978966</v>
      </c>
      <c r="T54" s="3">
        <v>1</v>
      </c>
      <c r="U54" s="3">
        <v>-2.9905640535372847E-4</v>
      </c>
      <c r="V54" s="3">
        <v>2</v>
      </c>
      <c r="W54" s="3">
        <v>1.770489961759082E-7</v>
      </c>
      <c r="X54" s="3">
        <v>3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 t="str">
        <v>CaSiO3</v>
      </c>
      <c r="AH54" s="3" t="str">
        <v>Calcium metasilicate</v>
      </c>
      <c r="AI54" s="3" t="str">
        <v>Ps-wollastonite</v>
      </c>
      <c r="AJ54" s="3">
        <v>-1625506.5559439999</v>
      </c>
      <c r="AK54" s="3">
        <v>86.936460336799996</v>
      </c>
      <c r="AL54" s="3" t="str">
        <v/>
      </c>
      <c r="AM54" s="3" t="str">
        <v/>
      </c>
      <c r="AN54" s="3">
        <v>1813</v>
      </c>
      <c r="AO54" s="3">
        <v>1815</v>
      </c>
      <c r="AP54" s="3">
        <v>35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0</v>
      </c>
    </row>
    <row r="55" spans="8:57" x14ac:dyDescent="0.35">
      <c r="H55" s="3" t="str">
        <v>CaSiO3</v>
      </c>
      <c r="I55" s="3" t="str">
        <v>Calcium metasilicate</v>
      </c>
      <c r="J55" s="3" t="str">
        <v>Ps-wollastonite</v>
      </c>
      <c r="K55" s="3">
        <v>-1627327.0449999999</v>
      </c>
      <c r="L55" s="3">
        <v>87.19</v>
      </c>
      <c r="M55" s="3" t="str">
        <v/>
      </c>
      <c r="N55" s="3" t="str">
        <v/>
      </c>
      <c r="O55" s="3">
        <v>298.14999999999998</v>
      </c>
      <c r="P55" s="3">
        <v>3000</v>
      </c>
      <c r="Q55" s="3">
        <v>36.964388145315482</v>
      </c>
      <c r="R55" s="3">
        <v>0</v>
      </c>
      <c r="S55" s="3">
        <v>-175764.81835564048</v>
      </c>
      <c r="T55" s="3">
        <v>-2</v>
      </c>
      <c r="U55" s="3">
        <v>-241.13288718929252</v>
      </c>
      <c r="V55" s="3">
        <v>-0.5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 t="str">
        <v/>
      </c>
      <c r="AH55" s="3" t="str">
        <v/>
      </c>
      <c r="AI55" s="3" t="str">
        <v/>
      </c>
      <c r="AJ55" s="3" t="str">
        <v/>
      </c>
      <c r="AK55" s="3" t="str">
        <v/>
      </c>
      <c r="AL55" s="3" t="str">
        <v/>
      </c>
      <c r="AM55" s="3" t="str">
        <v/>
      </c>
      <c r="AN55" s="3" t="str">
        <v/>
      </c>
      <c r="AO55" s="3" t="str">
        <v/>
      </c>
      <c r="AP55" s="3" t="str">
        <v/>
      </c>
      <c r="AQ55" s="3" t="str">
        <v/>
      </c>
      <c r="AR55" s="3" t="str">
        <v/>
      </c>
      <c r="AS55" s="3" t="str">
        <v/>
      </c>
      <c r="AT55" s="3" t="str">
        <v/>
      </c>
      <c r="AU55" s="3" t="str">
        <v/>
      </c>
      <c r="AV55" s="3" t="str">
        <v/>
      </c>
      <c r="AW55" s="3" t="str">
        <v/>
      </c>
      <c r="AX55" s="3" t="str">
        <v/>
      </c>
      <c r="AY55" s="3" t="str">
        <v/>
      </c>
      <c r="AZ55" s="3" t="str">
        <v/>
      </c>
      <c r="BA55" s="3" t="str">
        <v/>
      </c>
      <c r="BB55" s="3" t="str">
        <v/>
      </c>
      <c r="BC55" s="3" t="str">
        <v/>
      </c>
      <c r="BD55" s="3" t="str">
        <v/>
      </c>
      <c r="BE55" s="3" t="str">
        <v/>
      </c>
    </row>
    <row r="56" spans="8:57" x14ac:dyDescent="0.35">
      <c r="H56" s="3" t="str">
        <v>Ca2SiO4</v>
      </c>
      <c r="I56" s="3" t="str">
        <v>Calcium orthosilicate</v>
      </c>
      <c r="J56" s="3" t="str">
        <v>Gamma(olivine)</v>
      </c>
      <c r="K56" s="3">
        <v>-2317787.5</v>
      </c>
      <c r="L56" s="3">
        <v>120.49977111816406</v>
      </c>
      <c r="M56" s="3" t="str">
        <v/>
      </c>
      <c r="N56" s="3" t="str">
        <v/>
      </c>
      <c r="O56" s="3">
        <v>1</v>
      </c>
      <c r="P56" s="3">
        <v>50</v>
      </c>
      <c r="Q56" s="3">
        <v>4.0946701720841296E-5</v>
      </c>
      <c r="R56" s="3">
        <v>3</v>
      </c>
      <c r="S56" s="3">
        <v>-3.0988527724665387E-7</v>
      </c>
      <c r="T56" s="3">
        <v>4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 t="str">
        <v>Ca2SiO4</v>
      </c>
      <c r="AH56" s="3" t="str">
        <v>Calcium orthosilicate</v>
      </c>
      <c r="AI56" s="3" t="str">
        <v>Gamma(olivine)</v>
      </c>
      <c r="AJ56" s="3">
        <v>-2307513.656</v>
      </c>
      <c r="AK56" s="3">
        <v>119.659998384</v>
      </c>
      <c r="AL56" s="3" t="str">
        <v/>
      </c>
      <c r="AM56" s="3" t="str">
        <v/>
      </c>
      <c r="AN56" s="3">
        <v>298.14999999999998</v>
      </c>
      <c r="AO56" s="3">
        <v>2500</v>
      </c>
      <c r="AP56" s="3">
        <v>58.236187000000008</v>
      </c>
      <c r="AQ56" s="3">
        <v>0</v>
      </c>
      <c r="AR56" s="3">
        <v>7351371</v>
      </c>
      <c r="AS56" s="3">
        <v>-3</v>
      </c>
      <c r="AT56" s="3">
        <v>-486.23838999999998</v>
      </c>
      <c r="AU56" s="3">
        <v>-0.5</v>
      </c>
      <c r="AV56" s="3">
        <v>0</v>
      </c>
      <c r="AW56" s="3">
        <v>0</v>
      </c>
      <c r="AX56" s="3">
        <v>0</v>
      </c>
      <c r="AY56" s="3">
        <v>0</v>
      </c>
      <c r="AZ56" s="3">
        <v>0</v>
      </c>
      <c r="BA56" s="3">
        <v>0</v>
      </c>
      <c r="BB56" s="3">
        <v>0</v>
      </c>
      <c r="BC56" s="3">
        <v>0</v>
      </c>
      <c r="BD56" s="3">
        <v>0</v>
      </c>
      <c r="BE56" s="3">
        <v>0</v>
      </c>
    </row>
    <row r="57" spans="8:57" x14ac:dyDescent="0.35">
      <c r="H57" s="3" t="str">
        <v>Ca2SiO4</v>
      </c>
      <c r="I57" s="3" t="str">
        <v>Calcium orthosilicate</v>
      </c>
      <c r="J57" s="3" t="str">
        <v>Gamma(olivine)</v>
      </c>
      <c r="K57" s="3">
        <v>-2317787.5</v>
      </c>
      <c r="L57" s="3">
        <v>120.49977111816406</v>
      </c>
      <c r="M57" s="3" t="str">
        <v/>
      </c>
      <c r="N57" s="3" t="str">
        <v/>
      </c>
      <c r="O57" s="3">
        <v>50</v>
      </c>
      <c r="P57" s="3">
        <v>298.14999999999998</v>
      </c>
      <c r="Q57" s="3">
        <v>-4.9141496510516252</v>
      </c>
      <c r="R57" s="3">
        <v>0</v>
      </c>
      <c r="S57" s="3">
        <v>0.14804264388145313</v>
      </c>
      <c r="T57" s="3">
        <v>1</v>
      </c>
      <c r="U57" s="3">
        <v>4.2869837476099424E-4</v>
      </c>
      <c r="V57" s="3">
        <v>2</v>
      </c>
      <c r="W57" s="3">
        <v>-3.2856357552581258E-6</v>
      </c>
      <c r="X57" s="3">
        <v>3</v>
      </c>
      <c r="Y57" s="3">
        <v>5.075047801147227E-9</v>
      </c>
      <c r="Z57" s="3">
        <v>4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 t="str">
        <v/>
      </c>
      <c r="AH57" s="3" t="str">
        <v/>
      </c>
      <c r="AI57" s="3" t="str">
        <v/>
      </c>
      <c r="AJ57" s="3" t="str">
        <v/>
      </c>
      <c r="AK57" s="3" t="str">
        <v/>
      </c>
      <c r="AL57" s="3" t="str">
        <v/>
      </c>
      <c r="AM57" s="3" t="str">
        <v/>
      </c>
      <c r="AN57" s="3" t="str">
        <v/>
      </c>
      <c r="AO57" s="3" t="str">
        <v/>
      </c>
      <c r="AP57" s="3" t="str">
        <v/>
      </c>
      <c r="AQ57" s="3" t="str">
        <v/>
      </c>
      <c r="AR57" s="3" t="str">
        <v/>
      </c>
      <c r="AS57" s="3" t="str">
        <v/>
      </c>
      <c r="AT57" s="3" t="str">
        <v/>
      </c>
      <c r="AU57" s="3" t="str">
        <v/>
      </c>
      <c r="AV57" s="3" t="str">
        <v/>
      </c>
      <c r="AW57" s="3" t="str">
        <v/>
      </c>
      <c r="AX57" s="3" t="str">
        <v/>
      </c>
      <c r="AY57" s="3" t="str">
        <v/>
      </c>
      <c r="AZ57" s="3" t="str">
        <v/>
      </c>
      <c r="BA57" s="3" t="str">
        <v/>
      </c>
      <c r="BB57" s="3" t="str">
        <v/>
      </c>
      <c r="BC57" s="3" t="str">
        <v/>
      </c>
      <c r="BD57" s="3" t="str">
        <v/>
      </c>
      <c r="BE57" s="3" t="str">
        <v/>
      </c>
    </row>
    <row r="58" spans="8:57" x14ac:dyDescent="0.35">
      <c r="H58" s="3" t="str">
        <v>Ca2SiO4</v>
      </c>
      <c r="I58" s="3" t="str">
        <v>Calcium orthosilicate</v>
      </c>
      <c r="J58" s="3" t="str">
        <v>Gamma(olivine)</v>
      </c>
      <c r="K58" s="3">
        <v>-2317787.5</v>
      </c>
      <c r="L58" s="3">
        <v>120.49977111816406</v>
      </c>
      <c r="M58" s="3" t="str">
        <v/>
      </c>
      <c r="N58" s="3" t="str">
        <v/>
      </c>
      <c r="O58" s="3">
        <v>298.14999999999998</v>
      </c>
      <c r="P58" s="3">
        <v>1150</v>
      </c>
      <c r="Q58" s="3">
        <v>71.337580425430204</v>
      </c>
      <c r="R58" s="3">
        <v>0</v>
      </c>
      <c r="S58" s="3">
        <v>2386945.3594646268</v>
      </c>
      <c r="T58" s="3">
        <v>-2</v>
      </c>
      <c r="U58" s="3">
        <v>-359420397.94455063</v>
      </c>
      <c r="V58" s="3">
        <v>-3</v>
      </c>
      <c r="W58" s="3">
        <v>-937.93552676864238</v>
      </c>
      <c r="X58" s="3">
        <v>-0.5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 t="str">
        <v/>
      </c>
      <c r="AH58" s="3" t="str">
        <v/>
      </c>
      <c r="AI58" s="3" t="str">
        <v/>
      </c>
      <c r="AJ58" s="3" t="str">
        <v/>
      </c>
      <c r="AK58" s="3" t="str">
        <v/>
      </c>
      <c r="AL58" s="3" t="str">
        <v/>
      </c>
      <c r="AM58" s="3" t="str">
        <v/>
      </c>
      <c r="AN58" s="3" t="str">
        <v/>
      </c>
      <c r="AO58" s="3" t="str">
        <v/>
      </c>
      <c r="AP58" s="3" t="str">
        <v/>
      </c>
      <c r="AQ58" s="3" t="str">
        <v/>
      </c>
      <c r="AR58" s="3" t="str">
        <v/>
      </c>
      <c r="AS58" s="3" t="str">
        <v/>
      </c>
      <c r="AT58" s="3" t="str">
        <v/>
      </c>
      <c r="AU58" s="3" t="str">
        <v/>
      </c>
      <c r="AV58" s="3" t="str">
        <v/>
      </c>
      <c r="AW58" s="3" t="str">
        <v/>
      </c>
      <c r="AX58" s="3" t="str">
        <v/>
      </c>
      <c r="AY58" s="3" t="str">
        <v/>
      </c>
      <c r="AZ58" s="3" t="str">
        <v/>
      </c>
      <c r="BA58" s="3" t="str">
        <v/>
      </c>
      <c r="BB58" s="3" t="str">
        <v/>
      </c>
      <c r="BC58" s="3" t="str">
        <v/>
      </c>
      <c r="BD58" s="3" t="str">
        <v/>
      </c>
      <c r="BE58" s="3" t="str">
        <v/>
      </c>
    </row>
    <row r="59" spans="8:57" x14ac:dyDescent="0.35">
      <c r="H59" s="3" t="str">
        <v>Ca2SiO4</v>
      </c>
      <c r="I59" s="3" t="str">
        <v>Calcium orthosilicate</v>
      </c>
      <c r="J59" s="3" t="str">
        <v>Gamma(olivine)</v>
      </c>
      <c r="K59" s="3">
        <v>-2317787.5</v>
      </c>
      <c r="L59" s="3">
        <v>120.49977111816406</v>
      </c>
      <c r="M59" s="3" t="str">
        <v/>
      </c>
      <c r="N59" s="3" t="str">
        <v/>
      </c>
      <c r="O59" s="3">
        <v>1150</v>
      </c>
      <c r="P59" s="3">
        <v>3000</v>
      </c>
      <c r="Q59" s="3">
        <v>57.122370936902485</v>
      </c>
      <c r="R59" s="3">
        <v>0</v>
      </c>
      <c r="S59" s="3">
        <v>-4442878.8049713196</v>
      </c>
      <c r="T59" s="3">
        <v>-2</v>
      </c>
      <c r="U59" s="3">
        <v>-288.4114615200765</v>
      </c>
      <c r="V59" s="3">
        <v>-0.5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 t="str">
        <v/>
      </c>
      <c r="AH59" s="3" t="str">
        <v/>
      </c>
      <c r="AI59" s="3" t="str">
        <v/>
      </c>
      <c r="AJ59" s="3" t="str">
        <v/>
      </c>
      <c r="AK59" s="3" t="str">
        <v/>
      </c>
      <c r="AL59" s="3" t="str">
        <v/>
      </c>
      <c r="AM59" s="3" t="str">
        <v/>
      </c>
      <c r="AN59" s="3" t="str">
        <v/>
      </c>
      <c r="AO59" s="3" t="str">
        <v/>
      </c>
      <c r="AP59" s="3" t="str">
        <v/>
      </c>
      <c r="AQ59" s="3" t="str">
        <v/>
      </c>
      <c r="AR59" s="3" t="str">
        <v/>
      </c>
      <c r="AS59" s="3" t="str">
        <v/>
      </c>
      <c r="AT59" s="3" t="str">
        <v/>
      </c>
      <c r="AU59" s="3" t="str">
        <v/>
      </c>
      <c r="AV59" s="3" t="str">
        <v/>
      </c>
      <c r="AW59" s="3" t="str">
        <v/>
      </c>
      <c r="AX59" s="3" t="str">
        <v/>
      </c>
      <c r="AY59" s="3" t="str">
        <v/>
      </c>
      <c r="AZ59" s="3" t="str">
        <v/>
      </c>
      <c r="BA59" s="3" t="str">
        <v/>
      </c>
      <c r="BB59" s="3" t="str">
        <v/>
      </c>
      <c r="BC59" s="3" t="str">
        <v/>
      </c>
      <c r="BD59" s="3" t="str">
        <v/>
      </c>
      <c r="BE59" s="3" t="str">
        <v/>
      </c>
    </row>
    <row r="60" spans="8:57" x14ac:dyDescent="0.35">
      <c r="H60" s="3" t="str">
        <v>Ca2SiO4</v>
      </c>
      <c r="I60" s="3" t="str">
        <v>Calcium orthosilicate</v>
      </c>
      <c r="J60" s="3" t="str">
        <v>Alpha-prime</v>
      </c>
      <c r="K60" s="3">
        <v>-2305345.25</v>
      </c>
      <c r="L60" s="3">
        <v>129.33232116699219</v>
      </c>
      <c r="M60" s="3" t="str">
        <v/>
      </c>
      <c r="N60" s="3" t="str">
        <v/>
      </c>
      <c r="O60" s="3">
        <v>1</v>
      </c>
      <c r="P60" s="3">
        <v>50</v>
      </c>
      <c r="Q60" s="3">
        <v>5.029134799235181E-5</v>
      </c>
      <c r="R60" s="3">
        <v>3</v>
      </c>
      <c r="S60" s="3">
        <v>-4.2393164435946463E-7</v>
      </c>
      <c r="T60" s="3">
        <v>4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3">
        <v>0</v>
      </c>
      <c r="AE60" s="3">
        <v>0</v>
      </c>
      <c r="AF60" s="3">
        <v>0</v>
      </c>
      <c r="AG60" s="3" t="str">
        <v>Ca2SiO4</v>
      </c>
      <c r="AH60" s="3" t="str">
        <v>Calcium orthosilicate</v>
      </c>
      <c r="AI60" s="3" t="str">
        <v>Alpha-prime</v>
      </c>
      <c r="AJ60" s="3">
        <v>-2273629.44832</v>
      </c>
      <c r="AK60" s="3">
        <v>147.78856177599999</v>
      </c>
      <c r="AL60" s="3" t="str">
        <v/>
      </c>
      <c r="AM60" s="3" t="str">
        <v/>
      </c>
      <c r="AN60" s="3">
        <v>298.14999999999998</v>
      </c>
      <c r="AO60" s="3">
        <v>1710</v>
      </c>
      <c r="AP60" s="3">
        <v>50.308022000000008</v>
      </c>
      <c r="AQ60" s="3">
        <v>0</v>
      </c>
      <c r="AR60" s="3">
        <v>-1909512.4000000001</v>
      </c>
      <c r="AS60" s="3">
        <v>-2</v>
      </c>
      <c r="AT60" s="3">
        <v>310105151</v>
      </c>
      <c r="AU60" s="3">
        <v>-3</v>
      </c>
      <c r="AV60" s="3">
        <v>-167.75812999999999</v>
      </c>
      <c r="AW60" s="3">
        <v>-0.5</v>
      </c>
      <c r="AX60" s="3">
        <v>0</v>
      </c>
      <c r="AY60" s="3">
        <v>0</v>
      </c>
      <c r="AZ60" s="3">
        <v>0</v>
      </c>
      <c r="BA60" s="3">
        <v>0</v>
      </c>
      <c r="BB60" s="3">
        <v>0</v>
      </c>
      <c r="BC60" s="3">
        <v>0</v>
      </c>
      <c r="BD60" s="3">
        <v>0</v>
      </c>
      <c r="BE60" s="3">
        <v>0</v>
      </c>
    </row>
    <row r="61" spans="8:57" x14ac:dyDescent="0.35">
      <c r="H61" s="3" t="str">
        <v>Ca2SiO4</v>
      </c>
      <c r="I61" s="3" t="str">
        <v>Calcium orthosilicate</v>
      </c>
      <c r="J61" s="3" t="str">
        <v>Alpha-prime</v>
      </c>
      <c r="K61" s="3">
        <v>-2305345.25</v>
      </c>
      <c r="L61" s="3">
        <v>129.33232116699219</v>
      </c>
      <c r="M61" s="3" t="str">
        <v/>
      </c>
      <c r="N61" s="3" t="str">
        <v/>
      </c>
      <c r="O61" s="3">
        <v>50</v>
      </c>
      <c r="P61" s="3">
        <v>298.14999999999998</v>
      </c>
      <c r="Q61" s="3">
        <v>-6.7094024187380494</v>
      </c>
      <c r="R61" s="3">
        <v>0</v>
      </c>
      <c r="S61" s="3">
        <v>0.21458436974187378</v>
      </c>
      <c r="T61" s="3">
        <v>1</v>
      </c>
      <c r="U61" s="3">
        <v>-1.1054851816443593E-4</v>
      </c>
      <c r="V61" s="3">
        <v>2</v>
      </c>
      <c r="W61" s="3">
        <v>-1.512703154875717E-6</v>
      </c>
      <c r="X61" s="3">
        <v>3</v>
      </c>
      <c r="Y61" s="3">
        <v>2.9639818355640532E-9</v>
      </c>
      <c r="Z61" s="3">
        <v>4</v>
      </c>
      <c r="AA61" s="3">
        <v>0</v>
      </c>
      <c r="AB61" s="3">
        <v>0</v>
      </c>
      <c r="AC61" s="3">
        <v>0</v>
      </c>
      <c r="AD61" s="3">
        <v>0</v>
      </c>
      <c r="AE61" s="3">
        <v>0</v>
      </c>
      <c r="AF61" s="3">
        <v>0</v>
      </c>
      <c r="AG61" s="3" t="str">
        <v>Ca2SiO4</v>
      </c>
      <c r="AH61" s="3" t="str">
        <v>Calcium orthosilicate</v>
      </c>
      <c r="AI61" s="3" t="str">
        <v>Alpha-prime</v>
      </c>
      <c r="AJ61" s="3">
        <v>-2273629.44832</v>
      </c>
      <c r="AK61" s="3">
        <v>147.78856177599999</v>
      </c>
      <c r="AL61" s="3" t="str">
        <v/>
      </c>
      <c r="AM61" s="3" t="str">
        <v/>
      </c>
      <c r="AN61" s="3">
        <v>1710</v>
      </c>
      <c r="AO61" s="3">
        <v>5000</v>
      </c>
      <c r="AP61" s="3">
        <v>38.357736000000003</v>
      </c>
      <c r="AQ61" s="3">
        <v>0</v>
      </c>
      <c r="AR61" s="3">
        <v>-1909512.4000000001</v>
      </c>
      <c r="AS61" s="3">
        <v>-2</v>
      </c>
      <c r="AT61" s="3">
        <v>310105151</v>
      </c>
      <c r="AU61" s="3">
        <v>-3</v>
      </c>
      <c r="AV61" s="3">
        <v>-167.75812999999999</v>
      </c>
      <c r="AW61" s="3">
        <v>-0.5</v>
      </c>
      <c r="AX61" s="3">
        <v>0</v>
      </c>
      <c r="AY61" s="3">
        <v>0</v>
      </c>
      <c r="AZ61" s="3">
        <v>0</v>
      </c>
      <c r="BA61" s="3">
        <v>0</v>
      </c>
      <c r="BB61" s="3">
        <v>0</v>
      </c>
      <c r="BC61" s="3">
        <v>0</v>
      </c>
      <c r="BD61" s="3">
        <v>0</v>
      </c>
      <c r="BE61" s="3">
        <v>0</v>
      </c>
    </row>
    <row r="62" spans="8:57" x14ac:dyDescent="0.35">
      <c r="H62" s="3" t="str">
        <v>Ca2SiO4</v>
      </c>
      <c r="I62" s="3" t="str">
        <v>Calcium orthosilicate</v>
      </c>
      <c r="J62" s="3" t="str">
        <v>Alpha-prime</v>
      </c>
      <c r="K62" s="3">
        <v>-2305345.25</v>
      </c>
      <c r="L62" s="3">
        <v>129.33232116699219</v>
      </c>
      <c r="M62" s="3" t="str">
        <v/>
      </c>
      <c r="N62" s="3" t="str">
        <v/>
      </c>
      <c r="O62" s="3">
        <v>298.14999999999998</v>
      </c>
      <c r="P62" s="3">
        <v>1755</v>
      </c>
      <c r="Q62" s="3">
        <v>20.351485941682594</v>
      </c>
      <c r="R62" s="3">
        <v>0</v>
      </c>
      <c r="S62" s="3">
        <v>1.0813603489483747E-2</v>
      </c>
      <c r="T62" s="3">
        <v>1</v>
      </c>
      <c r="U62" s="3">
        <v>-3273174.6152007645</v>
      </c>
      <c r="V62" s="3">
        <v>-2</v>
      </c>
      <c r="W62" s="3">
        <v>430009748.80497128</v>
      </c>
      <c r="X62" s="3">
        <v>-3</v>
      </c>
      <c r="Y62" s="3">
        <v>478.0114722753346</v>
      </c>
      <c r="Z62" s="3">
        <v>-0.5</v>
      </c>
      <c r="AA62" s="3">
        <v>0</v>
      </c>
      <c r="AB62" s="3">
        <v>0</v>
      </c>
      <c r="AC62" s="3">
        <v>0</v>
      </c>
      <c r="AD62" s="3">
        <v>0</v>
      </c>
      <c r="AE62" s="3">
        <v>0</v>
      </c>
      <c r="AF62" s="3">
        <v>0</v>
      </c>
      <c r="AG62" s="3" t="str">
        <v/>
      </c>
      <c r="AH62" s="3" t="str">
        <v/>
      </c>
      <c r="AI62" s="3" t="str">
        <v/>
      </c>
      <c r="AJ62" s="3" t="str">
        <v/>
      </c>
      <c r="AK62" s="3" t="str">
        <v/>
      </c>
      <c r="AL62" s="3" t="str">
        <v/>
      </c>
      <c r="AM62" s="3" t="str">
        <v/>
      </c>
      <c r="AN62" s="3" t="str">
        <v/>
      </c>
      <c r="AO62" s="3" t="str">
        <v/>
      </c>
      <c r="AP62" s="3" t="str">
        <v/>
      </c>
      <c r="AQ62" s="3" t="str">
        <v/>
      </c>
      <c r="AR62" s="3" t="str">
        <v/>
      </c>
      <c r="AS62" s="3" t="str">
        <v/>
      </c>
      <c r="AT62" s="3" t="str">
        <v/>
      </c>
      <c r="AU62" s="3" t="str">
        <v/>
      </c>
      <c r="AV62" s="3" t="str">
        <v/>
      </c>
      <c r="AW62" s="3" t="str">
        <v/>
      </c>
      <c r="AX62" s="3" t="str">
        <v/>
      </c>
      <c r="AY62" s="3" t="str">
        <v/>
      </c>
      <c r="AZ62" s="3" t="str">
        <v/>
      </c>
      <c r="BA62" s="3" t="str">
        <v/>
      </c>
      <c r="BB62" s="3" t="str">
        <v/>
      </c>
      <c r="BC62" s="3" t="str">
        <v/>
      </c>
      <c r="BD62" s="3" t="str">
        <v/>
      </c>
      <c r="BE62" s="3" t="str">
        <v/>
      </c>
    </row>
    <row r="63" spans="8:57" x14ac:dyDescent="0.35">
      <c r="H63" s="3" t="str">
        <v>Ca2SiO4</v>
      </c>
      <c r="I63" s="3" t="str">
        <v>Calcium orthosilicate</v>
      </c>
      <c r="J63" s="3" t="str">
        <v>Alpha-prime</v>
      </c>
      <c r="K63" s="3">
        <v>-2305345.25</v>
      </c>
      <c r="L63" s="3">
        <v>129.33232116699219</v>
      </c>
      <c r="M63" s="3" t="str">
        <v/>
      </c>
      <c r="N63" s="3" t="str">
        <v/>
      </c>
      <c r="O63" s="3">
        <v>1755</v>
      </c>
      <c r="P63" s="3">
        <v>3000</v>
      </c>
      <c r="Q63" s="3">
        <v>57.122370936902485</v>
      </c>
      <c r="R63" s="3">
        <v>0</v>
      </c>
      <c r="S63" s="3">
        <v>-22636756.912045889</v>
      </c>
      <c r="T63" s="3">
        <v>-2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  <c r="AC63" s="3">
        <v>0</v>
      </c>
      <c r="AD63" s="3">
        <v>0</v>
      </c>
      <c r="AE63" s="3">
        <v>0</v>
      </c>
      <c r="AF63" s="3">
        <v>0</v>
      </c>
      <c r="AG63" s="3" t="str">
        <v/>
      </c>
      <c r="AH63" s="3" t="str">
        <v/>
      </c>
      <c r="AI63" s="3" t="str">
        <v/>
      </c>
      <c r="AJ63" s="3" t="str">
        <v/>
      </c>
      <c r="AK63" s="3" t="str">
        <v/>
      </c>
      <c r="AL63" s="3" t="str">
        <v/>
      </c>
      <c r="AM63" s="3" t="str">
        <v/>
      </c>
      <c r="AN63" s="3" t="str">
        <v/>
      </c>
      <c r="AO63" s="3" t="str">
        <v/>
      </c>
      <c r="AP63" s="3" t="str">
        <v/>
      </c>
      <c r="AQ63" s="3" t="str">
        <v/>
      </c>
      <c r="AR63" s="3" t="str">
        <v/>
      </c>
      <c r="AS63" s="3" t="str">
        <v/>
      </c>
      <c r="AT63" s="3" t="str">
        <v/>
      </c>
      <c r="AU63" s="3" t="str">
        <v/>
      </c>
      <c r="AV63" s="3" t="str">
        <v/>
      </c>
      <c r="AW63" s="3" t="str">
        <v/>
      </c>
      <c r="AX63" s="3" t="str">
        <v/>
      </c>
      <c r="AY63" s="3" t="str">
        <v/>
      </c>
      <c r="AZ63" s="3" t="str">
        <v/>
      </c>
      <c r="BA63" s="3" t="str">
        <v/>
      </c>
      <c r="BB63" s="3" t="str">
        <v/>
      </c>
      <c r="BC63" s="3" t="str">
        <v/>
      </c>
      <c r="BD63" s="3" t="str">
        <v/>
      </c>
      <c r="BE63" s="3" t="str">
        <v/>
      </c>
    </row>
    <row r="64" spans="8:57" x14ac:dyDescent="0.35">
      <c r="H64" s="3" t="str">
        <v>Ca2SiO4</v>
      </c>
      <c r="I64" s="3" t="str">
        <v>Calcium orthosilicate</v>
      </c>
      <c r="J64" s="3" t="str">
        <v>Alpha</v>
      </c>
      <c r="K64" s="3">
        <v>-2291965</v>
      </c>
      <c r="L64" s="3">
        <v>136.0721435546875</v>
      </c>
      <c r="M64" s="3" t="str">
        <v/>
      </c>
      <c r="N64" s="3" t="str">
        <v/>
      </c>
      <c r="O64" s="3">
        <v>1</v>
      </c>
      <c r="P64" s="3">
        <v>50</v>
      </c>
      <c r="Q64" s="3">
        <v>5.6373326959847032E-5</v>
      </c>
      <c r="R64" s="3">
        <v>3</v>
      </c>
      <c r="S64" s="3">
        <v>-4.2393164435946463E-7</v>
      </c>
      <c r="T64" s="3">
        <v>4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3">
        <v>0</v>
      </c>
      <c r="AC64" s="3">
        <v>0</v>
      </c>
      <c r="AD64" s="3">
        <v>0</v>
      </c>
      <c r="AE64" s="3">
        <v>0</v>
      </c>
      <c r="AF64" s="3">
        <v>0</v>
      </c>
      <c r="AG64" s="3" t="str">
        <v>Ca2SiO4</v>
      </c>
      <c r="AH64" s="3" t="str">
        <v>Calcium orthosilicate</v>
      </c>
      <c r="AI64" s="3" t="str">
        <v>Alpha</v>
      </c>
      <c r="AJ64" s="3">
        <v>-2198760.1573600001</v>
      </c>
      <c r="AK64" s="3">
        <v>237.622209064</v>
      </c>
      <c r="AL64" s="3" t="str">
        <v/>
      </c>
      <c r="AM64" s="3" t="str">
        <v/>
      </c>
      <c r="AN64" s="3">
        <v>298.14999999999998</v>
      </c>
      <c r="AO64" s="3">
        <v>5000</v>
      </c>
      <c r="AP64" s="3">
        <v>38.357736000000003</v>
      </c>
      <c r="AQ64" s="3">
        <v>0</v>
      </c>
      <c r="AR64" s="3">
        <v>-1909512.4000000001</v>
      </c>
      <c r="AS64" s="3">
        <v>-2</v>
      </c>
      <c r="AT64" s="3">
        <v>310105151</v>
      </c>
      <c r="AU64" s="3">
        <v>-3</v>
      </c>
      <c r="AV64" s="3">
        <v>-167.75812999999999</v>
      </c>
      <c r="AW64" s="3">
        <v>-0.5</v>
      </c>
      <c r="AX64" s="3">
        <v>0</v>
      </c>
      <c r="AY64" s="3">
        <v>0</v>
      </c>
      <c r="AZ64" s="3">
        <v>0</v>
      </c>
      <c r="BA64" s="3">
        <v>0</v>
      </c>
      <c r="BB64" s="3">
        <v>0</v>
      </c>
      <c r="BC64" s="3">
        <v>0</v>
      </c>
      <c r="BD64" s="3">
        <v>0</v>
      </c>
      <c r="BE64" s="3">
        <v>0</v>
      </c>
    </row>
    <row r="65" spans="8:57" x14ac:dyDescent="0.35">
      <c r="H65" s="3" t="str">
        <v>Ca2SiO4</v>
      </c>
      <c r="I65" s="3" t="str">
        <v>Calcium orthosilicate</v>
      </c>
      <c r="J65" s="3" t="str">
        <v>Alpha</v>
      </c>
      <c r="K65" s="3">
        <v>-2291965</v>
      </c>
      <c r="L65" s="3">
        <v>136.0721435546875</v>
      </c>
      <c r="M65" s="3" t="str">
        <v/>
      </c>
      <c r="N65" s="3" t="str">
        <v/>
      </c>
      <c r="O65" s="3">
        <v>50</v>
      </c>
      <c r="P65" s="3">
        <v>298.14999999999998</v>
      </c>
      <c r="Q65" s="3">
        <v>-5.9491729732313576</v>
      </c>
      <c r="R65" s="3">
        <v>0</v>
      </c>
      <c r="S65" s="3">
        <v>0.21458436974187378</v>
      </c>
      <c r="T65" s="3">
        <v>1</v>
      </c>
      <c r="U65" s="3">
        <v>-1.1054851816443593E-4</v>
      </c>
      <c r="V65" s="3">
        <v>2</v>
      </c>
      <c r="W65" s="3">
        <v>-1.512703154875717E-6</v>
      </c>
      <c r="X65" s="3">
        <v>3</v>
      </c>
      <c r="Y65" s="3">
        <v>2.9639818355640532E-9</v>
      </c>
      <c r="Z65" s="3">
        <v>4</v>
      </c>
      <c r="AA65" s="3">
        <v>0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  <c r="AG65" s="3" t="str">
        <v/>
      </c>
      <c r="AH65" s="3" t="str">
        <v/>
      </c>
      <c r="AI65" s="3" t="str">
        <v/>
      </c>
      <c r="AJ65" s="3" t="str">
        <v/>
      </c>
      <c r="AK65" s="3" t="str">
        <v/>
      </c>
      <c r="AL65" s="3" t="str">
        <v/>
      </c>
      <c r="AM65" s="3" t="str">
        <v/>
      </c>
      <c r="AN65" s="3" t="str">
        <v/>
      </c>
      <c r="AO65" s="3" t="str">
        <v/>
      </c>
      <c r="AP65" s="3" t="str">
        <v/>
      </c>
      <c r="AQ65" s="3" t="str">
        <v/>
      </c>
      <c r="AR65" s="3" t="str">
        <v/>
      </c>
      <c r="AS65" s="3" t="str">
        <v/>
      </c>
      <c r="AT65" s="3" t="str">
        <v/>
      </c>
      <c r="AU65" s="3" t="str">
        <v/>
      </c>
      <c r="AV65" s="3" t="str">
        <v/>
      </c>
      <c r="AW65" s="3" t="str">
        <v/>
      </c>
      <c r="AX65" s="3" t="str">
        <v/>
      </c>
      <c r="AY65" s="3" t="str">
        <v/>
      </c>
      <c r="AZ65" s="3" t="str">
        <v/>
      </c>
      <c r="BA65" s="3" t="str">
        <v/>
      </c>
      <c r="BB65" s="3" t="str">
        <v/>
      </c>
      <c r="BC65" s="3" t="str">
        <v/>
      </c>
      <c r="BD65" s="3" t="str">
        <v/>
      </c>
      <c r="BE65" s="3" t="str">
        <v/>
      </c>
    </row>
    <row r="66" spans="8:57" x14ac:dyDescent="0.35">
      <c r="H66" s="3" t="str">
        <v>Ca2SiO4</v>
      </c>
      <c r="I66" s="3" t="str">
        <v>Calcium orthosilicate</v>
      </c>
      <c r="J66" s="3" t="str">
        <v>Alpha</v>
      </c>
      <c r="K66" s="3">
        <v>-2291965</v>
      </c>
      <c r="L66" s="3">
        <v>136.0721435546875</v>
      </c>
      <c r="M66" s="3" t="str">
        <v/>
      </c>
      <c r="N66" s="3" t="str">
        <v/>
      </c>
      <c r="O66" s="3">
        <v>298.14999999999998</v>
      </c>
      <c r="P66" s="3">
        <v>1755</v>
      </c>
      <c r="Q66" s="3">
        <v>20.351485941682594</v>
      </c>
      <c r="R66" s="3">
        <v>0</v>
      </c>
      <c r="S66" s="3">
        <v>1.0813603489483747E-2</v>
      </c>
      <c r="T66" s="3">
        <v>1</v>
      </c>
      <c r="U66" s="3">
        <v>-3205595.2198852771</v>
      </c>
      <c r="V66" s="3">
        <v>-2</v>
      </c>
      <c r="W66" s="3">
        <v>430009748.80497128</v>
      </c>
      <c r="X66" s="3">
        <v>-3</v>
      </c>
      <c r="Y66" s="3">
        <v>478.0114722753346</v>
      </c>
      <c r="Z66" s="3">
        <v>-0.5</v>
      </c>
      <c r="AA66" s="3">
        <v>0</v>
      </c>
      <c r="AB66" s="3">
        <v>0</v>
      </c>
      <c r="AC66" s="3">
        <v>0</v>
      </c>
      <c r="AD66" s="3">
        <v>0</v>
      </c>
      <c r="AE66" s="3">
        <v>0</v>
      </c>
      <c r="AF66" s="3">
        <v>0</v>
      </c>
      <c r="AG66" s="3" t="str">
        <v/>
      </c>
      <c r="AH66" s="3" t="str">
        <v/>
      </c>
      <c r="AI66" s="3" t="str">
        <v/>
      </c>
      <c r="AJ66" s="3" t="str">
        <v/>
      </c>
      <c r="AK66" s="3" t="str">
        <v/>
      </c>
      <c r="AL66" s="3" t="str">
        <v/>
      </c>
      <c r="AM66" s="3" t="str">
        <v/>
      </c>
      <c r="AN66" s="3" t="str">
        <v/>
      </c>
      <c r="AO66" s="3" t="str">
        <v/>
      </c>
      <c r="AP66" s="3" t="str">
        <v/>
      </c>
      <c r="AQ66" s="3" t="str">
        <v/>
      </c>
      <c r="AR66" s="3" t="str">
        <v/>
      </c>
      <c r="AS66" s="3" t="str">
        <v/>
      </c>
      <c r="AT66" s="3" t="str">
        <v/>
      </c>
      <c r="AU66" s="3" t="str">
        <v/>
      </c>
      <c r="AV66" s="3" t="str">
        <v/>
      </c>
      <c r="AW66" s="3" t="str">
        <v/>
      </c>
      <c r="AX66" s="3" t="str">
        <v/>
      </c>
      <c r="AY66" s="3" t="str">
        <v/>
      </c>
      <c r="AZ66" s="3" t="str">
        <v/>
      </c>
      <c r="BA66" s="3" t="str">
        <v/>
      </c>
      <c r="BB66" s="3" t="str">
        <v/>
      </c>
      <c r="BC66" s="3" t="str">
        <v/>
      </c>
      <c r="BD66" s="3" t="str">
        <v/>
      </c>
      <c r="BE66" s="3" t="str">
        <v/>
      </c>
    </row>
    <row r="67" spans="8:57" x14ac:dyDescent="0.35">
      <c r="H67" s="3" t="str">
        <v>Ca2SiO4</v>
      </c>
      <c r="I67" s="3" t="str">
        <v>Calcium orthosilicate</v>
      </c>
      <c r="J67" s="3" t="str">
        <v>Alpha</v>
      </c>
      <c r="K67" s="3">
        <v>-2291965</v>
      </c>
      <c r="L67" s="3">
        <v>136.0721435546875</v>
      </c>
      <c r="M67" s="3" t="str">
        <v/>
      </c>
      <c r="N67" s="3" t="str">
        <v/>
      </c>
      <c r="O67" s="3">
        <v>1755</v>
      </c>
      <c r="P67" s="3">
        <v>3000</v>
      </c>
      <c r="Q67" s="3">
        <v>57.122370936902485</v>
      </c>
      <c r="R67" s="3">
        <v>0</v>
      </c>
      <c r="S67" s="3">
        <v>-22636756.912045889</v>
      </c>
      <c r="T67" s="3">
        <v>-2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3">
        <v>0</v>
      </c>
      <c r="AE67" s="3">
        <v>0</v>
      </c>
      <c r="AF67" s="3">
        <v>0</v>
      </c>
      <c r="AG67" s="3" t="str">
        <v/>
      </c>
      <c r="AH67" s="3" t="str">
        <v/>
      </c>
      <c r="AI67" s="3" t="str">
        <v/>
      </c>
      <c r="AJ67" s="3" t="str">
        <v/>
      </c>
      <c r="AK67" s="3" t="str">
        <v/>
      </c>
      <c r="AL67" s="3" t="str">
        <v/>
      </c>
      <c r="AM67" s="3" t="str">
        <v/>
      </c>
      <c r="AN67" s="3" t="str">
        <v/>
      </c>
      <c r="AO67" s="3" t="str">
        <v/>
      </c>
      <c r="AP67" s="3" t="str">
        <v/>
      </c>
      <c r="AQ67" s="3" t="str">
        <v/>
      </c>
      <c r="AR67" s="3" t="str">
        <v/>
      </c>
      <c r="AS67" s="3" t="str">
        <v/>
      </c>
      <c r="AT67" s="3" t="str">
        <v/>
      </c>
      <c r="AU67" s="3" t="str">
        <v/>
      </c>
      <c r="AV67" s="3" t="str">
        <v/>
      </c>
      <c r="AW67" s="3" t="str">
        <v/>
      </c>
      <c r="AX67" s="3" t="str">
        <v/>
      </c>
      <c r="AY67" s="3" t="str">
        <v/>
      </c>
      <c r="AZ67" s="3" t="str">
        <v/>
      </c>
      <c r="BA67" s="3" t="str">
        <v/>
      </c>
      <c r="BB67" s="3" t="str">
        <v/>
      </c>
      <c r="BC67" s="3" t="str">
        <v/>
      </c>
      <c r="BD67" s="3" t="str">
        <v/>
      </c>
      <c r="BE67" s="3" t="str">
        <v/>
      </c>
    </row>
    <row r="68" spans="8:57" x14ac:dyDescent="0.35">
      <c r="H68" s="3" t="str">
        <v>Ca3SiO5</v>
      </c>
      <c r="I68" s="3" t="str">
        <v>Hatrurite</v>
      </c>
      <c r="J68" s="3" t="str">
        <v>Hatrurite</v>
      </c>
      <c r="K68" s="3">
        <v>-2931236.7561425637</v>
      </c>
      <c r="L68" s="3">
        <v>167.65395206308574</v>
      </c>
      <c r="M68" s="3" t="str">
        <v/>
      </c>
      <c r="N68" s="3" t="str">
        <v/>
      </c>
      <c r="O68" s="3">
        <v>1</v>
      </c>
      <c r="P68" s="3">
        <v>50</v>
      </c>
      <c r="Q68" s="3">
        <v>6.7519359464627147E-5</v>
      </c>
      <c r="R68" s="3">
        <v>3</v>
      </c>
      <c r="S68" s="3">
        <v>-6.0188814531548758E-7</v>
      </c>
      <c r="T68" s="3">
        <v>4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v>0</v>
      </c>
      <c r="AD68" s="3">
        <v>0</v>
      </c>
      <c r="AE68" s="3">
        <v>0</v>
      </c>
      <c r="AF68" s="3">
        <v>0</v>
      </c>
      <c r="AG68" s="3" t="str">
        <v>Ca3SiO5</v>
      </c>
      <c r="AH68" s="3" t="str">
        <v>Hatrurite</v>
      </c>
      <c r="AI68" s="3" t="str">
        <v>Hatrurite</v>
      </c>
      <c r="AJ68" s="3">
        <v>-2857014.9027999998</v>
      </c>
      <c r="AK68" s="3">
        <v>235.64607657599996</v>
      </c>
      <c r="AL68" s="3" t="str">
        <v/>
      </c>
      <c r="AM68" s="3" t="str">
        <v/>
      </c>
      <c r="AN68" s="3">
        <v>298.14999999999998</v>
      </c>
      <c r="AO68" s="3">
        <v>2500</v>
      </c>
      <c r="AP68" s="3">
        <v>50.188413000000004</v>
      </c>
      <c r="AQ68" s="3">
        <v>0</v>
      </c>
      <c r="AR68" s="3">
        <v>-120.60299000000001</v>
      </c>
      <c r="AS68" s="3">
        <v>-0.5</v>
      </c>
      <c r="AT68" s="3">
        <v>0</v>
      </c>
      <c r="AU68" s="3">
        <v>0</v>
      </c>
      <c r="AV68" s="3">
        <v>0</v>
      </c>
      <c r="AW68" s="3">
        <v>0</v>
      </c>
      <c r="AX68" s="3">
        <v>0</v>
      </c>
      <c r="AY68" s="3">
        <v>0</v>
      </c>
      <c r="AZ68" s="3">
        <v>0</v>
      </c>
      <c r="BA68" s="3">
        <v>0</v>
      </c>
      <c r="BB68" s="3">
        <v>0</v>
      </c>
      <c r="BC68" s="3">
        <v>0</v>
      </c>
      <c r="BD68" s="3">
        <v>0</v>
      </c>
      <c r="BE68" s="3">
        <v>0</v>
      </c>
    </row>
    <row r="69" spans="8:57" x14ac:dyDescent="0.35">
      <c r="H69" s="3" t="str">
        <v>Ca3SiO5</v>
      </c>
      <c r="I69" s="3" t="str">
        <v>Hatrurite</v>
      </c>
      <c r="J69" s="3" t="str">
        <v>Hatrurite</v>
      </c>
      <c r="K69" s="3">
        <v>-2931236.7561425637</v>
      </c>
      <c r="L69" s="3">
        <v>167.65395206308574</v>
      </c>
      <c r="M69" s="3" t="str">
        <v/>
      </c>
      <c r="N69" s="3" t="str">
        <v/>
      </c>
      <c r="O69" s="3">
        <v>50</v>
      </c>
      <c r="P69" s="3">
        <v>298.14999999999998</v>
      </c>
      <c r="Q69" s="3">
        <v>-6.5420723542065007</v>
      </c>
      <c r="R69" s="3">
        <v>0</v>
      </c>
      <c r="S69" s="3">
        <v>0.20271028130975141</v>
      </c>
      <c r="T69" s="3">
        <v>1</v>
      </c>
      <c r="U69" s="3">
        <v>6.563907743785851E-4</v>
      </c>
      <c r="V69" s="3">
        <v>2</v>
      </c>
      <c r="W69" s="3">
        <v>-5.0174474187380497E-6</v>
      </c>
      <c r="X69" s="3">
        <v>3</v>
      </c>
      <c r="Y69" s="3">
        <v>7.8350860420650091E-9</v>
      </c>
      <c r="Z69" s="3">
        <v>4</v>
      </c>
      <c r="AA69" s="3">
        <v>0</v>
      </c>
      <c r="AB69" s="3">
        <v>0</v>
      </c>
      <c r="AC69" s="3">
        <v>0</v>
      </c>
      <c r="AD69" s="3">
        <v>0</v>
      </c>
      <c r="AE69" s="3">
        <v>0</v>
      </c>
      <c r="AF69" s="3">
        <v>0</v>
      </c>
      <c r="AG69" s="3" t="str">
        <v/>
      </c>
      <c r="AH69" s="3" t="str">
        <v/>
      </c>
      <c r="AI69" s="3" t="str">
        <v/>
      </c>
      <c r="AJ69" s="3" t="str">
        <v/>
      </c>
      <c r="AK69" s="3" t="str">
        <v/>
      </c>
      <c r="AL69" s="3" t="str">
        <v/>
      </c>
      <c r="AM69" s="3" t="str">
        <v/>
      </c>
      <c r="AN69" s="3" t="str">
        <v/>
      </c>
      <c r="AO69" s="3" t="str">
        <v/>
      </c>
      <c r="AP69" s="3" t="str">
        <v/>
      </c>
      <c r="AQ69" s="3" t="str">
        <v/>
      </c>
      <c r="AR69" s="3" t="str">
        <v/>
      </c>
      <c r="AS69" s="3" t="str">
        <v/>
      </c>
      <c r="AT69" s="3" t="str">
        <v/>
      </c>
      <c r="AU69" s="3" t="str">
        <v/>
      </c>
      <c r="AV69" s="3" t="str">
        <v/>
      </c>
      <c r="AW69" s="3" t="str">
        <v/>
      </c>
      <c r="AX69" s="3" t="str">
        <v/>
      </c>
      <c r="AY69" s="3" t="str">
        <v/>
      </c>
      <c r="AZ69" s="3" t="str">
        <v/>
      </c>
      <c r="BA69" s="3" t="str">
        <v/>
      </c>
      <c r="BB69" s="3" t="str">
        <v/>
      </c>
      <c r="BC69" s="3" t="str">
        <v/>
      </c>
      <c r="BD69" s="3" t="str">
        <v/>
      </c>
      <c r="BE69" s="3" t="str">
        <v/>
      </c>
    </row>
    <row r="70" spans="8:57" x14ac:dyDescent="0.35">
      <c r="H70" s="3" t="str">
        <v>Ca3SiO5</v>
      </c>
      <c r="I70" s="3" t="str">
        <v>Hatrurite</v>
      </c>
      <c r="J70" s="3" t="str">
        <v>Hatrurite</v>
      </c>
      <c r="K70" s="3">
        <v>-2931236.7561425637</v>
      </c>
      <c r="L70" s="3">
        <v>167.65395206308574</v>
      </c>
      <c r="M70" s="3" t="str">
        <v/>
      </c>
      <c r="N70" s="3" t="str">
        <v/>
      </c>
      <c r="O70" s="3">
        <v>298.14999999999998</v>
      </c>
      <c r="P70" s="3">
        <v>3000</v>
      </c>
      <c r="Q70" s="3">
        <v>61.973005019120457</v>
      </c>
      <c r="R70" s="3">
        <v>0</v>
      </c>
      <c r="S70" s="3">
        <v>-2901975.695506691</v>
      </c>
      <c r="T70" s="3">
        <v>-2</v>
      </c>
      <c r="U70" s="3">
        <v>-46.770711902485658</v>
      </c>
      <c r="V70" s="3">
        <v>-0.5</v>
      </c>
      <c r="W70" s="3">
        <v>386351742.11281067</v>
      </c>
      <c r="X70" s="3">
        <v>-3</v>
      </c>
      <c r="Y70" s="3">
        <v>0</v>
      </c>
      <c r="Z70" s="3">
        <v>0</v>
      </c>
      <c r="AA70" s="3">
        <v>0</v>
      </c>
      <c r="AB70" s="3">
        <v>0</v>
      </c>
      <c r="AC70" s="3">
        <v>0</v>
      </c>
      <c r="AD70" s="3">
        <v>0</v>
      </c>
      <c r="AE70" s="3">
        <v>0</v>
      </c>
      <c r="AF70" s="3">
        <v>0</v>
      </c>
      <c r="AG70" s="3" t="str">
        <v/>
      </c>
      <c r="AH70" s="3" t="str">
        <v/>
      </c>
      <c r="AI70" s="3" t="str">
        <v/>
      </c>
      <c r="AJ70" s="3" t="str">
        <v/>
      </c>
      <c r="AK70" s="3" t="str">
        <v/>
      </c>
      <c r="AL70" s="3" t="str">
        <v/>
      </c>
      <c r="AM70" s="3" t="str">
        <v/>
      </c>
      <c r="AN70" s="3" t="str">
        <v/>
      </c>
      <c r="AO70" s="3" t="str">
        <v/>
      </c>
      <c r="AP70" s="3" t="str">
        <v/>
      </c>
      <c r="AQ70" s="3" t="str">
        <v/>
      </c>
      <c r="AR70" s="3" t="str">
        <v/>
      </c>
      <c r="AS70" s="3" t="str">
        <v/>
      </c>
      <c r="AT70" s="3" t="str">
        <v/>
      </c>
      <c r="AU70" s="3" t="str">
        <v/>
      </c>
      <c r="AV70" s="3" t="str">
        <v/>
      </c>
      <c r="AW70" s="3" t="str">
        <v/>
      </c>
      <c r="AX70" s="3" t="str">
        <v/>
      </c>
      <c r="AY70" s="3" t="str">
        <v/>
      </c>
      <c r="AZ70" s="3" t="str">
        <v/>
      </c>
      <c r="BA70" s="3" t="str">
        <v/>
      </c>
      <c r="BB70" s="3" t="str">
        <v/>
      </c>
      <c r="BC70" s="3" t="str">
        <v/>
      </c>
      <c r="BD70" s="3" t="str">
        <v/>
      </c>
      <c r="BE70" s="3" t="str">
        <v/>
      </c>
    </row>
    <row r="71" spans="8:57" x14ac:dyDescent="0.35">
      <c r="H71" s="3" t="str">
        <v>Ca3Si2O7</v>
      </c>
      <c r="I71" s="3" t="str">
        <v>Rankinite</v>
      </c>
      <c r="J71" s="3" t="str">
        <v>Rankinite</v>
      </c>
      <c r="K71" s="3">
        <v>-3951630.9999999995</v>
      </c>
      <c r="L71" s="3">
        <v>205.13499999999999</v>
      </c>
      <c r="M71" s="3" t="str">
        <v/>
      </c>
      <c r="N71" s="3" t="str">
        <v/>
      </c>
      <c r="O71" s="3">
        <v>1</v>
      </c>
      <c r="P71" s="3">
        <v>50</v>
      </c>
      <c r="Q71" s="3">
        <v>7.3800430210325038E-5</v>
      </c>
      <c r="R71" s="3">
        <v>3</v>
      </c>
      <c r="S71" s="3">
        <v>-5.0430210325047801E-7</v>
      </c>
      <c r="T71" s="3">
        <v>4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v>0</v>
      </c>
      <c r="AD71" s="3">
        <v>0</v>
      </c>
      <c r="AE71" s="3">
        <v>0</v>
      </c>
      <c r="AF71" s="3">
        <v>0</v>
      </c>
      <c r="AG71" s="3" t="str">
        <v>Ca3Si2O7</v>
      </c>
      <c r="AH71" s="3" t="str">
        <v>Rankinite</v>
      </c>
      <c r="AI71" s="3" t="str">
        <v>Rankinite</v>
      </c>
      <c r="AJ71" s="3">
        <v>-3950432.1748000002</v>
      </c>
      <c r="AK71" s="3">
        <v>205.55550169599999</v>
      </c>
      <c r="AL71" s="3" t="str">
        <v/>
      </c>
      <c r="AM71" s="3" t="str">
        <v/>
      </c>
      <c r="AN71" s="3">
        <v>298.14999999999998</v>
      </c>
      <c r="AO71" s="3">
        <v>5000</v>
      </c>
      <c r="AP71" s="3">
        <v>93.893106000000003</v>
      </c>
      <c r="AQ71" s="3">
        <v>0</v>
      </c>
      <c r="AR71" s="3">
        <v>-2547800.0799999996</v>
      </c>
      <c r="AS71" s="3">
        <v>-2</v>
      </c>
      <c r="AT71" s="3">
        <v>-525.82835239999997</v>
      </c>
      <c r="AU71" s="3">
        <v>-0.5</v>
      </c>
      <c r="AV71" s="3">
        <v>328295681.00000006</v>
      </c>
      <c r="AW71" s="3">
        <v>-3</v>
      </c>
      <c r="AX71" s="3">
        <v>0</v>
      </c>
      <c r="AY71" s="3">
        <v>0</v>
      </c>
      <c r="AZ71" s="3">
        <v>0</v>
      </c>
      <c r="BA71" s="3">
        <v>0</v>
      </c>
      <c r="BB71" s="3">
        <v>0</v>
      </c>
      <c r="BC71" s="3">
        <v>0</v>
      </c>
      <c r="BD71" s="3">
        <v>0</v>
      </c>
      <c r="BE71" s="3">
        <v>0</v>
      </c>
    </row>
    <row r="72" spans="8:57" x14ac:dyDescent="0.35">
      <c r="H72" s="3" t="str">
        <v>Ca3Si2O7</v>
      </c>
      <c r="I72" s="3" t="str">
        <v>Rankinite</v>
      </c>
      <c r="J72" s="3" t="str">
        <v>Rankinite</v>
      </c>
      <c r="K72" s="3">
        <v>-3951630.9999999995</v>
      </c>
      <c r="L72" s="3">
        <v>205.13499999999999</v>
      </c>
      <c r="M72" s="3" t="str">
        <v/>
      </c>
      <c r="N72" s="3" t="str">
        <v/>
      </c>
      <c r="O72" s="3">
        <v>50</v>
      </c>
      <c r="P72" s="3">
        <v>298.14999999999998</v>
      </c>
      <c r="Q72" s="3">
        <v>-9.3690248565965586</v>
      </c>
      <c r="R72" s="3">
        <v>0</v>
      </c>
      <c r="S72" s="3">
        <v>0.30948852772466534</v>
      </c>
      <c r="T72" s="3">
        <v>1</v>
      </c>
      <c r="U72" s="3">
        <v>1.4040607074569783E-4</v>
      </c>
      <c r="V72" s="3">
        <v>2</v>
      </c>
      <c r="W72" s="3">
        <v>-3.3484703632887188E-6</v>
      </c>
      <c r="X72" s="3">
        <v>3</v>
      </c>
      <c r="Y72" s="3">
        <v>5.6500956022944543E-9</v>
      </c>
      <c r="Z72" s="3">
        <v>4</v>
      </c>
      <c r="AA72" s="3">
        <v>0</v>
      </c>
      <c r="AB72" s="3">
        <v>0</v>
      </c>
      <c r="AC72" s="3">
        <v>0</v>
      </c>
      <c r="AD72" s="3">
        <v>0</v>
      </c>
      <c r="AE72" s="3">
        <v>0</v>
      </c>
      <c r="AF72" s="3">
        <v>0</v>
      </c>
      <c r="AG72" s="3" t="str">
        <v/>
      </c>
      <c r="AH72" s="3" t="str">
        <v/>
      </c>
      <c r="AI72" s="3" t="str">
        <v/>
      </c>
      <c r="AJ72" s="3" t="str">
        <v/>
      </c>
      <c r="AK72" s="3" t="str">
        <v/>
      </c>
      <c r="AL72" s="3" t="str">
        <v/>
      </c>
      <c r="AM72" s="3" t="str">
        <v/>
      </c>
      <c r="AN72" s="3" t="str">
        <v/>
      </c>
      <c r="AO72" s="3" t="str">
        <v/>
      </c>
      <c r="AP72" s="3" t="str">
        <v/>
      </c>
      <c r="AQ72" s="3" t="str">
        <v/>
      </c>
      <c r="AR72" s="3" t="str">
        <v/>
      </c>
      <c r="AS72" s="3" t="str">
        <v/>
      </c>
      <c r="AT72" s="3" t="str">
        <v/>
      </c>
      <c r="AU72" s="3" t="str">
        <v/>
      </c>
      <c r="AV72" s="3" t="str">
        <v/>
      </c>
      <c r="AW72" s="3" t="str">
        <v/>
      </c>
      <c r="AX72" s="3" t="str">
        <v/>
      </c>
      <c r="AY72" s="3" t="str">
        <v/>
      </c>
      <c r="AZ72" s="3" t="str">
        <v/>
      </c>
      <c r="BA72" s="3" t="str">
        <v/>
      </c>
      <c r="BB72" s="3" t="str">
        <v/>
      </c>
      <c r="BC72" s="3" t="str">
        <v/>
      </c>
      <c r="BD72" s="3" t="str">
        <v/>
      </c>
      <c r="BE72" s="3" t="str">
        <v/>
      </c>
    </row>
    <row r="73" spans="8:57" x14ac:dyDescent="0.35">
      <c r="H73" s="3" t="str">
        <v>Ca3Si2O7</v>
      </c>
      <c r="I73" s="3" t="str">
        <v>Rankinite</v>
      </c>
      <c r="J73" s="3" t="str">
        <v>Rankinite</v>
      </c>
      <c r="K73" s="3">
        <v>-3951630.9999999995</v>
      </c>
      <c r="L73" s="3">
        <v>205.13499999999999</v>
      </c>
      <c r="M73" s="3" t="str">
        <v/>
      </c>
      <c r="N73" s="3" t="str">
        <v/>
      </c>
      <c r="O73" s="3">
        <v>298.14999999999998</v>
      </c>
      <c r="P73" s="3">
        <v>3000</v>
      </c>
      <c r="Q73" s="3">
        <v>95.602294455066883</v>
      </c>
      <c r="R73" s="3">
        <v>0</v>
      </c>
      <c r="S73" s="3">
        <v>-358747.60994263861</v>
      </c>
      <c r="T73" s="3">
        <v>-2</v>
      </c>
      <c r="U73" s="3">
        <v>-695.50669216061181</v>
      </c>
      <c r="V73" s="3">
        <v>-0.5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  <c r="AC73" s="3">
        <v>0</v>
      </c>
      <c r="AD73" s="3">
        <v>0</v>
      </c>
      <c r="AE73" s="3">
        <v>0</v>
      </c>
      <c r="AF73" s="3">
        <v>0</v>
      </c>
      <c r="AG73" s="3" t="str">
        <v/>
      </c>
      <c r="AH73" s="3" t="str">
        <v/>
      </c>
      <c r="AI73" s="3" t="str">
        <v/>
      </c>
      <c r="AJ73" s="3" t="str">
        <v/>
      </c>
      <c r="AK73" s="3" t="str">
        <v/>
      </c>
      <c r="AL73" s="3" t="str">
        <v/>
      </c>
      <c r="AM73" s="3" t="str">
        <v/>
      </c>
      <c r="AN73" s="3" t="str">
        <v/>
      </c>
      <c r="AO73" s="3" t="str">
        <v/>
      </c>
      <c r="AP73" s="3" t="str">
        <v/>
      </c>
      <c r="AQ73" s="3" t="str">
        <v/>
      </c>
      <c r="AR73" s="3" t="str">
        <v/>
      </c>
      <c r="AS73" s="3" t="str">
        <v/>
      </c>
      <c r="AT73" s="3" t="str">
        <v/>
      </c>
      <c r="AU73" s="3" t="str">
        <v/>
      </c>
      <c r="AV73" s="3" t="str">
        <v/>
      </c>
      <c r="AW73" s="3" t="str">
        <v/>
      </c>
      <c r="AX73" s="3" t="str">
        <v/>
      </c>
      <c r="AY73" s="3" t="str">
        <v/>
      </c>
      <c r="AZ73" s="3" t="str">
        <v/>
      </c>
      <c r="BA73" s="3" t="str">
        <v/>
      </c>
      <c r="BB73" s="3" t="str">
        <v/>
      </c>
      <c r="BC73" s="3" t="str">
        <v/>
      </c>
      <c r="BD73" s="3" t="str">
        <v/>
      </c>
      <c r="BE73" s="3" t="str">
        <v/>
      </c>
    </row>
  </sheetData>
  <conditionalFormatting sqref="H11:AF192">
    <cfRule type="cellIs" dxfId="1" priority="1" operator="notEqual">
      <formula>AG11</formula>
    </cfRule>
    <cfRule type="cellIs" dxfId="0" priority="2" operator="equal">
      <formula>AG11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01C7DD8-06FF-47B8-997D-B774237E89D3}">
  <ds:schemaRefs/>
</ds:datastoreItem>
</file>

<file path=customXml/itemProps2.xml><?xml version="1.0" encoding="utf-8"?>
<ds:datastoreItem xmlns:ds="http://schemas.openxmlformats.org/officeDocument/2006/customXml" ds:itemID="{3F7B6728-2CB1-481D-9F42-C47A59C3FC11}">
  <ds:schemaRefs/>
</ds:datastoreItem>
</file>

<file path=customXml/itemProps3.xml><?xml version="1.0" encoding="utf-8"?>
<ds:datastoreItem xmlns:ds="http://schemas.openxmlformats.org/officeDocument/2006/customXml" ds:itemID="{25FB434B-E063-4907-ACEA-36BB6775A729}">
  <ds:schemaRefs/>
</ds:datastoreItem>
</file>

<file path=customXml/itemProps4.xml><?xml version="1.0" encoding="utf-8"?>
<ds:datastoreItem xmlns:ds="http://schemas.openxmlformats.org/officeDocument/2006/customXml" ds:itemID="{3E82F536-B2A6-446A-B0AA-43F59D4A256C}">
  <ds:schemaRefs/>
</ds:datastoreItem>
</file>

<file path=customXml/itemProps5.xml><?xml version="1.0" encoding="utf-8"?>
<ds:datastoreItem xmlns:ds="http://schemas.openxmlformats.org/officeDocument/2006/customXml" ds:itemID="{4680D3DB-7898-4145-B3D2-FC28D0CF19AF}">
  <ds:schemaRefs/>
</ds:datastoreItem>
</file>

<file path=customXml/itemProps6.xml><?xml version="1.0" encoding="utf-8"?>
<ds:datastoreItem xmlns:ds="http://schemas.openxmlformats.org/officeDocument/2006/customXml" ds:itemID="{BECE0A19-01BA-42F7-8EBD-DE162FF37C70}">
  <ds:schemaRefs/>
</ds:datastoreItem>
</file>

<file path=customXml/itemProps7.xml><?xml version="1.0" encoding="utf-8"?>
<ds:datastoreItem xmlns:ds="http://schemas.openxmlformats.org/officeDocument/2006/customXml" ds:itemID="{2245B006-7B37-4820-98A4-122F0AAC275F}">
  <ds:schemaRefs/>
</ds:datastoreItem>
</file>

<file path=customXml/itemProps8.xml><?xml version="1.0" encoding="utf-8"?>
<ds:datastoreItem xmlns:ds="http://schemas.openxmlformats.org/officeDocument/2006/customXml" ds:itemID="{29C6B27C-38FF-4CB0-9BD3-AFE55D1FB475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EEE56F83-845A-4AD8-B6C1-149F8BE1D59C}">
  <ds:schemaRefs/>
</ds:datastoreItem>
</file>

<file path=customXml/itemProps10.xml><?xml version="1.0" encoding="utf-8"?>
<ds:datastoreItem xmlns:ds="http://schemas.openxmlformats.org/officeDocument/2006/customXml" ds:itemID="{5DDEF406-EC5B-40EE-9472-0B774C6412F2}">
  <ds:schemaRefs/>
</ds:datastoreItem>
</file>

<file path=customXml/itemProps11.xml><?xml version="1.0" encoding="utf-8"?>
<ds:datastoreItem xmlns:ds="http://schemas.openxmlformats.org/officeDocument/2006/customXml" ds:itemID="{671AA7A1-46EA-4020-84BA-07F1F1240C3F}">
  <ds:schemaRefs/>
</ds:datastoreItem>
</file>

<file path=customXml/itemProps12.xml><?xml version="1.0" encoding="utf-8"?>
<ds:datastoreItem xmlns:ds="http://schemas.openxmlformats.org/officeDocument/2006/customXml" ds:itemID="{79255C08-A39B-4B42-AE6E-53051612DC5B}">
  <ds:schemaRefs/>
</ds:datastoreItem>
</file>

<file path=customXml/itemProps13.xml><?xml version="1.0" encoding="utf-8"?>
<ds:datastoreItem xmlns:ds="http://schemas.openxmlformats.org/officeDocument/2006/customXml" ds:itemID="{D889B1F1-8B00-4C2F-8899-0BDE84119C2B}">
  <ds:schemaRefs/>
</ds:datastoreItem>
</file>

<file path=customXml/itemProps14.xml><?xml version="1.0" encoding="utf-8"?>
<ds:datastoreItem xmlns:ds="http://schemas.openxmlformats.org/officeDocument/2006/customXml" ds:itemID="{FCC4B6D3-80D6-4630-8B8E-255453BB2274}">
  <ds:schemaRefs/>
</ds:datastoreItem>
</file>

<file path=customXml/itemProps15.xml><?xml version="1.0" encoding="utf-8"?>
<ds:datastoreItem xmlns:ds="http://schemas.openxmlformats.org/officeDocument/2006/customXml" ds:itemID="{BD13945F-2C8E-4935-9130-C46DE5599FBD}">
  <ds:schemaRefs/>
</ds:datastoreItem>
</file>

<file path=customXml/itemProps16.xml><?xml version="1.0" encoding="utf-8"?>
<ds:datastoreItem xmlns:ds="http://schemas.openxmlformats.org/officeDocument/2006/customXml" ds:itemID="{E7E51934-699D-4AF2-8A66-D32B9D881668}">
  <ds:schemaRefs/>
</ds:datastoreItem>
</file>

<file path=customXml/itemProps17.xml><?xml version="1.0" encoding="utf-8"?>
<ds:datastoreItem xmlns:ds="http://schemas.openxmlformats.org/officeDocument/2006/customXml" ds:itemID="{474DAA72-B675-44AB-B59E-190E061F53F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xlwings.conf</vt:lpstr>
      <vt:lpstr>LIST_COMPOUNDS</vt:lpstr>
      <vt:lpstr>COMPARE_COMPOUNDS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Evgenii Nekhoroshev</dc:creator>
  <cp:lastModifiedBy>Evgenii Nekhoroshev</cp:lastModifiedBy>
  <cp:lastPrinted>2021-02-02T06:35:49Z</cp:lastPrinted>
  <dcterms:created xsi:type="dcterms:W3CDTF">2020-08-11T23:31:32Z</dcterms:created>
  <dcterms:modified xsi:type="dcterms:W3CDTF">2026-06-05T01:41:10Z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488380-630a-4f55-a077-a19445e3f360_Enabled">
    <vt:lpwstr>true</vt:lpwstr>
  </property>
  <property fmtid="{D5CDD505-2E9C-101B-9397-08002B2CF9AE}" pid="3" name="MSIP_Label_0f488380-630a-4f55-a077-a19445e3f360_SetDate">
    <vt:lpwstr>2021-12-02T01:13:40Z</vt:lpwstr>
  </property>
  <property fmtid="{D5CDD505-2E9C-101B-9397-08002B2CF9AE}" pid="4" name="MSIP_Label_0f488380-630a-4f55-a077-a19445e3f360_Method">
    <vt:lpwstr>Standard</vt:lpwstr>
  </property>
  <property fmtid="{D5CDD505-2E9C-101B-9397-08002B2CF9AE}" pid="5" name="MSIP_Label_0f488380-630a-4f55-a077-a19445e3f360_Name">
    <vt:lpwstr>OFFICIAL - INTERNAL</vt:lpwstr>
  </property>
  <property fmtid="{D5CDD505-2E9C-101B-9397-08002B2CF9AE}" pid="6" name="MSIP_Label_0f488380-630a-4f55-a077-a19445e3f360_SiteId">
    <vt:lpwstr>b6e377cf-9db3-46cb-91a2-fad9605bb15c</vt:lpwstr>
  </property>
  <property fmtid="{D5CDD505-2E9C-101B-9397-08002B2CF9AE}" pid="7" name="MSIP_Label_0f488380-630a-4f55-a077-a19445e3f360_ActionId">
    <vt:lpwstr>aa2c89b2-1299-466f-aea7-08d5669b4da6</vt:lpwstr>
  </property>
  <property fmtid="{D5CDD505-2E9C-101B-9397-08002B2CF9AE}" pid="8" name="MSIP_Label_0f488380-630a-4f55-a077-a19445e3f360_ContentBits">
    <vt:lpwstr>0</vt:lpwstr>
  </property>
</Properties>
</file>